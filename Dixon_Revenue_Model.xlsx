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om/Downloads/dixon-dcf-valuation/"/>
    </mc:Choice>
  </mc:AlternateContent>
  <xr:revisionPtr revIDLastSave="0" documentId="13_ncr:1_{E8A352BF-0719-7E4C-9F86-224A7E2F0450}" xr6:coauthVersionLast="47" xr6:coauthVersionMax="47" xr10:uidLastSave="{00000000-0000-0000-0000-000000000000}"/>
  <bookViews>
    <workbookView xWindow="0" yWindow="600" windowWidth="18460" windowHeight="14340" tabRatio="500" xr2:uid="{00000000-000D-0000-FFFF-FFFF00000000}"/>
  </bookViews>
  <sheets>
    <sheet name="Cover" sheetId="1" r:id="rId1"/>
    <sheet name="Revenue Model" sheetId="2" r:id="rId2"/>
    <sheet name="P&amp;L Summary" sheetId="3" r:id="rId3"/>
    <sheet name="Assumptions" sheetId="4" r:id="rId4"/>
    <sheet name="WACC" sheetId="5" r:id="rId5"/>
    <sheet name="DCF Valuation" sheetId="6" r:id="rId6"/>
    <sheet name="Sensitivity" sheetId="7" r:id="rId7"/>
    <sheet name="Comps Analysi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8" l="1"/>
  <c r="B18" i="8"/>
  <c r="K15" i="8"/>
  <c r="F15" i="8"/>
  <c r="E15" i="8"/>
  <c r="D15" i="8"/>
  <c r="C15" i="8"/>
  <c r="B15" i="8"/>
  <c r="K14" i="8"/>
  <c r="F14" i="8"/>
  <c r="E14" i="8"/>
  <c r="D14" i="8"/>
  <c r="C14" i="8"/>
  <c r="B14" i="8"/>
  <c r="K13" i="8"/>
  <c r="F13" i="8"/>
  <c r="E13" i="8"/>
  <c r="D13" i="8"/>
  <c r="C13" i="8"/>
  <c r="B13" i="8"/>
  <c r="K12" i="8"/>
  <c r="F12" i="8"/>
  <c r="E12" i="8"/>
  <c r="D12" i="8"/>
  <c r="C12" i="8"/>
  <c r="B12" i="8"/>
  <c r="J9" i="8"/>
  <c r="H9" i="8"/>
  <c r="I9" i="8" s="1"/>
  <c r="J8" i="8"/>
  <c r="H8" i="8"/>
  <c r="I8" i="8" s="1"/>
  <c r="J7" i="8"/>
  <c r="H7" i="8"/>
  <c r="H15" i="8" s="1"/>
  <c r="J6" i="8"/>
  <c r="J12" i="8" s="1"/>
  <c r="I6" i="8"/>
  <c r="H6" i="8"/>
  <c r="J5" i="8"/>
  <c r="H5" i="8"/>
  <c r="I5" i="8" s="1"/>
  <c r="C14" i="7"/>
  <c r="B45" i="6"/>
  <c r="B43" i="6"/>
  <c r="B41" i="6"/>
  <c r="B40" i="6"/>
  <c r="B27" i="6"/>
  <c r="B26" i="6"/>
  <c r="B21" i="6"/>
  <c r="B30" i="5"/>
  <c r="B20" i="5"/>
  <c r="B22" i="5" s="1"/>
  <c r="B19" i="5"/>
  <c r="B13" i="5"/>
  <c r="B8" i="5"/>
  <c r="B17" i="4"/>
  <c r="B16" i="4"/>
  <c r="B15" i="4"/>
  <c r="B14" i="4"/>
  <c r="B11" i="4"/>
  <c r="B10" i="4"/>
  <c r="B9" i="4"/>
  <c r="B8" i="4"/>
  <c r="B7" i="4"/>
  <c r="B6" i="4"/>
  <c r="B5" i="4"/>
  <c r="B4" i="4"/>
  <c r="H32" i="3"/>
  <c r="G32" i="3"/>
  <c r="D14" i="3"/>
  <c r="F11" i="3"/>
  <c r="E11" i="3"/>
  <c r="D11" i="3"/>
  <c r="F9" i="3"/>
  <c r="E9" i="3"/>
  <c r="D9" i="3"/>
  <c r="C9" i="3"/>
  <c r="C11" i="3" s="1"/>
  <c r="B9" i="3"/>
  <c r="B11" i="3" s="1"/>
  <c r="E7" i="3"/>
  <c r="D7" i="3"/>
  <c r="E5" i="3"/>
  <c r="E14" i="3" s="1"/>
  <c r="D5" i="3"/>
  <c r="C5" i="3"/>
  <c r="C7" i="3" s="1"/>
  <c r="B5" i="3"/>
  <c r="B7" i="3" s="1"/>
  <c r="G30" i="2"/>
  <c r="H30" i="2" s="1"/>
  <c r="G29" i="2"/>
  <c r="H29" i="2" s="1"/>
  <c r="G28" i="2"/>
  <c r="H28" i="2" s="1"/>
  <c r="G27" i="2"/>
  <c r="G31" i="2" s="1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0" i="2"/>
  <c r="F5" i="3" s="1"/>
  <c r="E10" i="2"/>
  <c r="E17" i="2" s="1"/>
  <c r="D10" i="2"/>
  <c r="D17" i="2" s="1"/>
  <c r="C10" i="2"/>
  <c r="C17" i="2" s="1"/>
  <c r="B10" i="2"/>
  <c r="D22" i="7" l="1"/>
  <c r="D20" i="7"/>
  <c r="D18" i="7"/>
  <c r="F21" i="7"/>
  <c r="E21" i="7"/>
  <c r="D23" i="7"/>
  <c r="D21" i="7"/>
  <c r="C22" i="7"/>
  <c r="C20" i="7"/>
  <c r="C18" i="7"/>
  <c r="F14" i="3"/>
  <c r="F19" i="7"/>
  <c r="E23" i="7"/>
  <c r="E19" i="7"/>
  <c r="D19" i="7"/>
  <c r="B22" i="7"/>
  <c r="B20" i="7"/>
  <c r="B18" i="7"/>
  <c r="F23" i="7"/>
  <c r="E22" i="7"/>
  <c r="E20" i="7"/>
  <c r="E18" i="7"/>
  <c r="B13" i="6"/>
  <c r="C23" i="7"/>
  <c r="C21" i="7"/>
  <c r="C19" i="7"/>
  <c r="B23" i="7"/>
  <c r="B21" i="7"/>
  <c r="B19" i="7"/>
  <c r="F7" i="3"/>
  <c r="F22" i="7"/>
  <c r="F20" i="7"/>
  <c r="F18" i="7"/>
  <c r="G27" i="3"/>
  <c r="G32" i="2"/>
  <c r="C6" i="6" s="1"/>
  <c r="I14" i="8"/>
  <c r="B19" i="8"/>
  <c r="B26" i="8" s="1"/>
  <c r="B21" i="8"/>
  <c r="B28" i="8" s="1"/>
  <c r="H27" i="2"/>
  <c r="H31" i="2" s="1"/>
  <c r="B14" i="3"/>
  <c r="C14" i="3"/>
  <c r="F17" i="2"/>
  <c r="H13" i="8"/>
  <c r="H12" i="8"/>
  <c r="I13" i="8"/>
  <c r="J14" i="8"/>
  <c r="H14" i="8"/>
  <c r="J15" i="8"/>
  <c r="J13" i="8"/>
  <c r="B21" i="5"/>
  <c r="B25" i="5" s="1"/>
  <c r="I7" i="8"/>
  <c r="B23" i="8" s="1"/>
  <c r="B30" i="8" s="1"/>
  <c r="I15" i="8"/>
  <c r="H27" i="3" l="1"/>
  <c r="H32" i="2"/>
  <c r="D6" i="6" s="1"/>
  <c r="G30" i="3"/>
  <c r="G28" i="3"/>
  <c r="B22" i="8"/>
  <c r="B29" i="8" s="1"/>
  <c r="B14" i="6"/>
  <c r="C13" i="6"/>
  <c r="B20" i="6"/>
  <c r="B15" i="6"/>
  <c r="B19" i="6" s="1"/>
  <c r="G26" i="6"/>
  <c r="F26" i="6"/>
  <c r="C26" i="6"/>
  <c r="E26" i="6"/>
  <c r="D26" i="6"/>
  <c r="B20" i="8"/>
  <c r="B27" i="8" s="1"/>
  <c r="I12" i="8"/>
  <c r="C21" i="6" l="1"/>
  <c r="C14" i="6"/>
  <c r="C20" i="6"/>
  <c r="C15" i="6"/>
  <c r="C19" i="6" s="1"/>
  <c r="D13" i="6"/>
  <c r="G31" i="3"/>
  <c r="G33" i="3" s="1"/>
  <c r="G29" i="3"/>
  <c r="B16" i="6"/>
  <c r="H30" i="3"/>
  <c r="H28" i="3"/>
  <c r="H31" i="3" l="1"/>
  <c r="H33" i="3" s="1"/>
  <c r="H29" i="3"/>
  <c r="B17" i="6"/>
  <c r="B18" i="6"/>
  <c r="B22" i="6" s="1"/>
  <c r="G35" i="3"/>
  <c r="G36" i="3" s="1"/>
  <c r="G34" i="3"/>
  <c r="D14" i="6"/>
  <c r="D20" i="6"/>
  <c r="D15" i="6"/>
  <c r="D19" i="6" s="1"/>
  <c r="D21" i="6"/>
  <c r="E13" i="6"/>
  <c r="C16" i="6"/>
  <c r="C17" i="6" l="1"/>
  <c r="C18" i="6"/>
  <c r="C22" i="6" s="1"/>
  <c r="D16" i="6"/>
  <c r="E14" i="6"/>
  <c r="F13" i="6"/>
  <c r="E20" i="6"/>
  <c r="E15" i="6"/>
  <c r="E19" i="6" s="1"/>
  <c r="E21" i="6"/>
  <c r="H34" i="3"/>
  <c r="H35" i="3" s="1"/>
  <c r="H36" i="3" s="1"/>
  <c r="G13" i="6" l="1"/>
  <c r="F20" i="6"/>
  <c r="F15" i="6"/>
  <c r="F19" i="6" s="1"/>
  <c r="F14" i="6"/>
  <c r="F16" i="6" s="1"/>
  <c r="F21" i="6"/>
  <c r="E16" i="6"/>
  <c r="D17" i="6"/>
  <c r="D18" i="6"/>
  <c r="D22" i="6" s="1"/>
  <c r="D27" i="6" s="1"/>
  <c r="C27" i="6"/>
  <c r="E17" i="6" l="1"/>
  <c r="E18" i="6"/>
  <c r="E22" i="6" s="1"/>
  <c r="F17" i="6"/>
  <c r="F18" i="6" s="1"/>
  <c r="F22" i="6" s="1"/>
  <c r="G20" i="6"/>
  <c r="G15" i="6"/>
  <c r="G19" i="6" s="1"/>
  <c r="G14" i="6"/>
  <c r="G16" i="6" s="1"/>
  <c r="G21" i="6"/>
  <c r="F27" i="6" l="1"/>
  <c r="E27" i="6"/>
  <c r="E8" i="7"/>
  <c r="G17" i="6"/>
  <c r="G18" i="6"/>
  <c r="G22" i="6" s="1"/>
  <c r="E11" i="7" s="1"/>
  <c r="C11" i="7"/>
  <c r="D7" i="7" l="1"/>
  <c r="D8" i="7"/>
  <c r="F7" i="7"/>
  <c r="E7" i="7"/>
  <c r="B7" i="7"/>
  <c r="F8" i="7"/>
  <c r="C7" i="7"/>
  <c r="F11" i="7"/>
  <c r="F9" i="7"/>
  <c r="F10" i="7"/>
  <c r="B6" i="7"/>
  <c r="B11" i="7"/>
  <c r="D6" i="7"/>
  <c r="D9" i="7"/>
  <c r="G27" i="6"/>
  <c r="B36" i="6" s="1"/>
  <c r="B38" i="6" s="1"/>
  <c r="B42" i="6" s="1"/>
  <c r="B44" i="6" s="1"/>
  <c r="B46" i="6" s="1"/>
  <c r="B32" i="6"/>
  <c r="B33" i="6" s="1"/>
  <c r="B37" i="6" s="1"/>
  <c r="B31" i="6"/>
  <c r="B10" i="7"/>
  <c r="B9" i="7"/>
  <c r="C10" i="7"/>
  <c r="B8" i="7"/>
  <c r="C6" i="7"/>
  <c r="E9" i="7"/>
  <c r="D10" i="7"/>
  <c r="C9" i="7"/>
  <c r="C8" i="7"/>
  <c r="E10" i="7"/>
  <c r="E6" i="7"/>
  <c r="D11" i="7"/>
  <c r="F6" i="7"/>
  <c r="B39" i="6" l="1"/>
</calcChain>
</file>

<file path=xl/sharedStrings.xml><?xml version="1.0" encoding="utf-8"?>
<sst xmlns="http://schemas.openxmlformats.org/spreadsheetml/2006/main" count="360" uniqueCount="323">
  <si>
    <t>DIXON TECHNOLOGIES (INDIA) LTD</t>
  </si>
  <si>
    <t>DCF Valuation Model — Step 1: Revenue Model</t>
  </si>
  <si>
    <t>Company</t>
  </si>
  <si>
    <t>Dixon Technologies (India) Limited</t>
  </si>
  <si>
    <t>NSE Ticker</t>
  </si>
  <si>
    <t>DIXON</t>
  </si>
  <si>
    <t>Sector</t>
  </si>
  <si>
    <t>Electronics Manufacturing Services (EMS)</t>
  </si>
  <si>
    <t>Model prepared by</t>
  </si>
  <si>
    <t>Date</t>
  </si>
  <si>
    <t>Base year</t>
  </si>
  <si>
    <t>FY2026 (ended March 31, 2026)</t>
  </si>
  <si>
    <t>Projection period</t>
  </si>
  <si>
    <t>FY2027E – FY2031E</t>
  </si>
  <si>
    <t>Currency</t>
  </si>
  <si>
    <t>₹ Indian Rupee (Crore)</t>
  </si>
  <si>
    <t>Data source</t>
  </si>
  <si>
    <t>Dixon Q4 FY26 Results (May 12, 2026)</t>
  </si>
  <si>
    <t>Annual report</t>
  </si>
  <si>
    <t>Screener.in</t>
  </si>
  <si>
    <t>screener.in/company/DIXON/consolidated/</t>
  </si>
  <si>
    <t>SHEET GUIDE</t>
  </si>
  <si>
    <t>Revenue Model</t>
  </si>
  <si>
    <t>Historical + projected revenue by segment with growth assumptions</t>
  </si>
  <si>
    <t>P&amp;L Summary</t>
  </si>
  <si>
    <t>Projected income statement (EBITDA, PAT, margins)</t>
  </si>
  <si>
    <t>Assumptions</t>
  </si>
  <si>
    <t>All growth rates and margin inputs — change these to run scenarios</t>
  </si>
  <si>
    <t>COLOUR KEY</t>
  </si>
  <si>
    <t>BLUE text</t>
  </si>
  <si>
    <t>Hardcoded inputs — you can change these</t>
  </si>
  <si>
    <t>BLACK text</t>
  </si>
  <si>
    <t>Formulas — do not edit</t>
  </si>
  <si>
    <t>YELLOW fill</t>
  </si>
  <si>
    <t>Key assumptions that need your attention</t>
  </si>
  <si>
    <t>Light blue cols</t>
  </si>
  <si>
    <t>Historical actuals</t>
  </si>
  <si>
    <t>Light green cols</t>
  </si>
  <si>
    <t>Projections (your estimates)</t>
  </si>
  <si>
    <t>DIXON TECHNOLOGIES — REVENUE MODEL (₹ Crore)</t>
  </si>
  <si>
    <t>All figures in ₹ Crore unless stated. Blue = inputs. Black = formulas.</t>
  </si>
  <si>
    <t>Segment</t>
  </si>
  <si>
    <t>FY2022
(Actual)</t>
  </si>
  <si>
    <t>FY2023
(Actual)</t>
  </si>
  <si>
    <t>FY2024
(Actual)</t>
  </si>
  <si>
    <t>FY2025
(Actual)</t>
  </si>
  <si>
    <t>FY2026
(Actual)</t>
  </si>
  <si>
    <t>FY2027
(Est.)</t>
  </si>
  <si>
    <t>FY2028
(Est.)</t>
  </si>
  <si>
    <t xml:space="preserve">  Mobile &amp; EMS</t>
  </si>
  <si>
    <t xml:space="preserve">  Consumer Electronics &amp; Appliances</t>
  </si>
  <si>
    <t xml:space="preserve">  Home Appliances</t>
  </si>
  <si>
    <t xml:space="preserve">  Lighting Products</t>
  </si>
  <si>
    <t>FY26: Lighting revenue via Signify JV entity — not in Dixon standalone P&amp;L</t>
  </si>
  <si>
    <t>Total Revenue from Operations</t>
  </si>
  <si>
    <t>YoY REVENUE GROWTH</t>
  </si>
  <si>
    <t>n/a</t>
  </si>
  <si>
    <t>Total Revenue Growth</t>
  </si>
  <si>
    <t>PROJECTION ASSUMPTIONS (FY2027E – FY2028E) — CHANGE THESE</t>
  </si>
  <si>
    <t>FY2027E</t>
  </si>
  <si>
    <t>FY2028E</t>
  </si>
  <si>
    <t xml:space="preserve">  Mobile &amp; EMS growth rate</t>
  </si>
  <si>
    <t>Base: 20%. Bull: 30% (Vivo approval). Bear: 10% (Samsung volume cut)</t>
  </si>
  <si>
    <t xml:space="preserve">  Consumer Electronics &amp; Appliances growth rate</t>
  </si>
  <si>
    <t>Flat to modest growth. Low visibility.</t>
  </si>
  <si>
    <t xml:space="preserve">  Home Appliances growth rate</t>
  </si>
  <si>
    <t>New product launches (dishwashers, vacuum cleaners)</t>
  </si>
  <si>
    <t xml:space="preserve">  Lighting Products growth rate</t>
  </si>
  <si>
    <t>Signify JV guided ~₹1,700 Cr FY27 from ₹850 Cr FY26 (~100%)</t>
  </si>
  <si>
    <t>PROJECTED REVENUE BY SEGMENT</t>
  </si>
  <si>
    <t>Total Projected Revenue</t>
  </si>
  <si>
    <t>Total Revenue Growth (projected)</t>
  </si>
  <si>
    <t>DIXON TECHNOLOGIES — P&amp;L SUMMARY (₹ Crore)</t>
  </si>
  <si>
    <t>Historical actuals + projected income statement. Formulas link to Revenue Model sheet.</t>
  </si>
  <si>
    <t>P&amp;L Line Item</t>
  </si>
  <si>
    <t>Revenue from Operations</t>
  </si>
  <si>
    <t>EBITDA</t>
  </si>
  <si>
    <t xml:space="preserve">  EBITDA Margin (%)</t>
  </si>
  <si>
    <t xml:space="preserve">  Depreciation &amp; Amortisation</t>
  </si>
  <si>
    <t xml:space="preserve">  EBIT</t>
  </si>
  <si>
    <t xml:space="preserve">  Interest / Finance Costs</t>
  </si>
  <si>
    <t xml:space="preserve">  PBT (pre-exceptional)</t>
  </si>
  <si>
    <t xml:space="preserve">  Tax</t>
  </si>
  <si>
    <t>PAT (reported)</t>
  </si>
  <si>
    <t xml:space="preserve">  PAT Margin (%)</t>
  </si>
  <si>
    <t xml:space="preserve">  EPS (Diluted, ₹)</t>
  </si>
  <si>
    <t>MARGIN ASSUMPTIONS — CHANGE THESE</t>
  </si>
  <si>
    <t>Assumption</t>
  </si>
  <si>
    <t xml:space="preserve">  EBITDA Margin assumption</t>
  </si>
  <si>
    <t>FY26 actual was 5.3%. Mgmt guides improvement via backward integration (QTech camera modules). Use 5.5–6.0% for base case.</t>
  </si>
  <si>
    <t xml:space="preserve">  D&amp;A as % of Revenue</t>
  </si>
  <si>
    <t>Dixon is capex-heavy (₹1,200 Cr FY26 capex). D&amp;A rising ~40% YoY. Estimate ~0.9–1.0% of revenue.</t>
  </si>
  <si>
    <t xml:space="preserve">  Finance Costs (₹ Cr, fixed est)</t>
  </si>
  <si>
    <t>Negative NWC means low working capital funding needs. Use ~₹150 Cr fixed estimate.</t>
  </si>
  <si>
    <t xml:space="preserve">  Effective Tax Rate</t>
  </si>
  <si>
    <t>Company pays ~26% effective tax. Relatively stable.</t>
  </si>
  <si>
    <t>PROJECTED P&amp;L</t>
  </si>
  <si>
    <t>EBIT</t>
  </si>
  <si>
    <t xml:space="preserve">  Finance Costs</t>
  </si>
  <si>
    <t>PBT</t>
  </si>
  <si>
    <t>PAT (projected)</t>
  </si>
  <si>
    <t>KEY ASSUMPTIONS &amp; SOURCES — DIXON TECHNOLOGIES</t>
  </si>
  <si>
    <t>Value</t>
  </si>
  <si>
    <t>Rationale / Source</t>
  </si>
  <si>
    <t>REVENUE GROWTH (Base Case)</t>
  </si>
  <si>
    <t>Mobile &amp; EMS — FY27E</t>
  </si>
  <si>
    <t>Mgmt guided 60–65 mn phones FY28; telecom ₹7,500 Cr FY27 vs ₹5,000 Cr FY26. Flat domestic mobile, offset by higher realizations (+12-15%).</t>
  </si>
  <si>
    <t>Mobile &amp; EMS — FY28E</t>
  </si>
  <si>
    <t>Camera module scale-up (₹2,500 Cr vs ₹1,700 Cr). Backward integration margin uplift. Conservative post Vivo uncertainty.</t>
  </si>
  <si>
    <t>Consumer Electronics — FY27E</t>
  </si>
  <si>
    <t>Soft demand for LED TVs. Modest growth from new clients.</t>
  </si>
  <si>
    <t>Consumer Electronics — FY28E</t>
  </si>
  <si>
    <t>Monitor and IFPD segment ramp expected.</t>
  </si>
  <si>
    <t>Home Appliances — FY27E</t>
  </si>
  <si>
    <t>New categories launching: robotic vacuum, dishwasher, microwave. Capacity expansion.</t>
  </si>
  <si>
    <t>Home Appliances — FY28E</t>
  </si>
  <si>
    <t>Full year contribution from new categories.</t>
  </si>
  <si>
    <t>Lighting Products — FY27E</t>
  </si>
  <si>
    <t>Signify JV guided ~₹1,700 Cr vs ~₹850 Cr FY26 actuals (~2x).</t>
  </si>
  <si>
    <t>Lighting Products — FY28E</t>
  </si>
  <si>
    <t>JV matures, growth moderates. Export potential materializing.</t>
  </si>
  <si>
    <t>MARGIN ASSUMPTIONS</t>
  </si>
  <si>
    <t>EBITDA Margin — FY27E</t>
  </si>
  <si>
    <t>FY26 was 5.3%. Backward integration benefit begins. Mobile margin 2.8–3.2% near term (mgmt guided).</t>
  </si>
  <si>
    <t>EBITDA Margin — FY28E</t>
  </si>
  <si>
    <t>Camera module in-house ramps, improving blended margin.</t>
  </si>
  <si>
    <t>D&amp;A % Revenue — FY27E</t>
  </si>
  <si>
    <t>Capex ₹1,200 Cr in FY26. D&amp;A rising ~40% YoY. Estimate ~0.9% of revenue.</t>
  </si>
  <si>
    <t>Tax Rate</t>
  </si>
  <si>
    <t>Effective rate stable at ~26% historically.</t>
  </si>
  <si>
    <t>KEY RISKS TO MODEL</t>
  </si>
  <si>
    <t>BEAR CASE TRIGGER</t>
  </si>
  <si>
    <t>Samsung volume -20%</t>
  </si>
  <si>
    <t>Mobile &amp; EMS grows only 5% YoY. Revenue misses ₹57,000 Cr.</t>
  </si>
  <si>
    <t>BULL CASE TRIGGER</t>
  </si>
  <si>
    <t>Vivo approval</t>
  </si>
  <si>
    <t>Adds 20–22 mn units. Mobile &amp; EMS grows 35%+ YoY.</t>
  </si>
  <si>
    <t>PLI RISK</t>
  </si>
  <si>
    <t>₹1,110 Cr pending</t>
  </si>
  <si>
    <t>PLI incentive disbursement not confirmed. If delayed, PAT misses.</t>
  </si>
  <si>
    <t>SOURCES</t>
  </si>
  <si>
    <t>Annual filings</t>
  </si>
  <si>
    <t>BSE/NSE filing</t>
  </si>
  <si>
    <t>investor.dixon.in — Q4 FY26 results announced May 12, 2026</t>
  </si>
  <si>
    <t>Free</t>
  </si>
  <si>
    <t>Earnings call</t>
  </si>
  <si>
    <t>Quartr / BSE</t>
  </si>
  <si>
    <t>quartr.com/companies/dixon-technologies-india-limited_19412</t>
  </si>
  <si>
    <t>Analyst report</t>
  </si>
  <si>
    <t>ICICI Direct</t>
  </si>
  <si>
    <t>icicidirect.com — target ₹20,000 (Oct 2025 report)</t>
  </si>
  <si>
    <t>DIXON TECHNOLOGIES — WACC CALCULATION (₹ Crore)</t>
  </si>
  <si>
    <t>Source: BSE Q4 FY26 filing (May 12 2026) · TradingView beta · RBI / Trading Economics G-Sec</t>
  </si>
  <si>
    <t>A. COST OF EQUITY  (CAPM: Re = Rf + β × ERP)</t>
  </si>
  <si>
    <t xml:space="preserve">  Risk-Free Rate (Rf)</t>
  </si>
  <si>
    <t>India 10-Year G-Sec yield. Source: Trading Economics / RBI, June 2026. Currently ~6.7% after yield spike on oil/Iran fears.</t>
  </si>
  <si>
    <t xml:space="preserve">  Beta (β)</t>
  </si>
  <si>
    <t>Source: TradingView NSE:DIXON. 1-year beta vs Nifty 50 = 0.86. Dixon less volatile than market — large-cap EMS with sticky clients.</t>
  </si>
  <si>
    <t xml:space="preserve">  Equity Risk Premium (ERP)</t>
  </si>
  <si>
    <t>India ERP per Damodaran (Jan 2026) = ~7.5%. Reflects emerging market risk over G-Sec. Standard for Indian equity valuation.</t>
  </si>
  <si>
    <t>Cost of Equity (Re)</t>
  </si>
  <si>
    <t>CAPM: Rf + β × ERP = 6.7% + 0.86 × 7.5% = 13.15%. Higher than US (~9%) due to India risk premium.</t>
  </si>
  <si>
    <t>B. COST OF DEBT  (Post-Tax)</t>
  </si>
  <si>
    <t xml:space="preserve">  Pre-Tax Cost of Debt (Rd)</t>
  </si>
  <si>
    <t>Proxy: ICRA AA-rated corporate bond spread ~130bps over G-Sec. 6.7% + 1.3% = 8.0%. Dixon has ICRA AA Stable rating.</t>
  </si>
  <si>
    <t>FY26 actual effective tax rate = 26%. Consistent over 3 years. Source: BSE P&amp;L filing.</t>
  </si>
  <si>
    <t>Post-Tax Cost of Debt (Rd × (1-t))</t>
  </si>
  <si>
    <t>C. CAPITAL STRUCTURE  (Market Value Weights)</t>
  </si>
  <si>
    <t xml:space="preserve">  Market Capitalisation (₹ Cr)</t>
  </si>
  <si>
    <t>Current market cap ~₹68,549 Cr at ₹11,848/share × 5.79 Cr shares. Source: NSE / TradingView, May 2026.</t>
  </si>
  <si>
    <t xml:space="preserve">  Total Borrowings — FY26 (₹ Cr)</t>
  </si>
  <si>
    <t>Total borrowings ₹467 Cr (short-term working capital). Source: BSE Q4 FY26 balance sheet. Zero long-term debt.</t>
  </si>
  <si>
    <t xml:space="preserve">  Cash &amp; Equivalents (₹ Cr)</t>
  </si>
  <si>
    <t>Closing cash ₹767 Cr FY26 vs ₹231 Cr FY25 — tripled. Source: BSE Q4 FY26 cash flow statement.</t>
  </si>
  <si>
    <t xml:space="preserve">  Net Debt (Debt − Cash)</t>
  </si>
  <si>
    <t>Negative = Net Cash position. Dixon has ₹300 Cr net cash — fortress balance sheet for a ₹68,000 Cr mkt cap company.</t>
  </si>
  <si>
    <t xml:space="preserve">  Total Firm Value (E + D)</t>
  </si>
  <si>
    <t xml:space="preserve">  Weight of Equity (E/V)</t>
  </si>
  <si>
    <t>99.3% equity — nearly all-equity company.</t>
  </si>
  <si>
    <t xml:space="preserve">  Weight of Debt (D/V)</t>
  </si>
  <si>
    <t>Only 0.7% debt weight — WACC ≈ Re.</t>
  </si>
  <si>
    <t>D. WACC  =  Re × (E/V)  +  Rd(1-t) × (D/V)</t>
  </si>
  <si>
    <t>WACC</t>
  </si>
  <si>
    <t>WACC approx 13.1%. Near all-equity so WACC approximates cost of equity. Use 13.0-13.5% in sensitivity.</t>
  </si>
  <si>
    <t>E. SHARES &amp; PRICE DATA  (for Equity Bridge)</t>
  </si>
  <si>
    <t xml:space="preserve">  Diluted Shares Outstanding (Cr)</t>
  </si>
  <si>
    <t>FY26 PAT ₹1,644 Cr ÷ diluted EPS ₹269.4 = 6.10 Cr shares. Source: BSE Q4 FY26 filing.</t>
  </si>
  <si>
    <t xml:space="preserve">  Current Stock Price (₹)</t>
  </si>
  <si>
    <t>NSE closing price. Source: TradingView NSE:DIXON, June 2026. Use for comparison with DCF implied price.</t>
  </si>
  <si>
    <t xml:space="preserve">  Shares × Price = Market Cap check</t>
  </si>
  <si>
    <t>Should ≈ B16 market cap. Small difference due to rounding in share count.</t>
  </si>
  <si>
    <t>DIXON TECHNOLOGIES — DCF VALUATION (₹ Crore)</t>
  </si>
  <si>
    <t>5-year explicit projection (FY27E–FY31E) + Terminal Value. Blue = inputs. Black = formulas. Green = cross-sheet.</t>
  </si>
  <si>
    <t>Line Item</t>
  </si>
  <si>
    <t>FY2026
(Base)</t>
  </si>
  <si>
    <t>FY2029E</t>
  </si>
  <si>
    <t>FY2030E</t>
  </si>
  <si>
    <t>FY2031E</t>
  </si>
  <si>
    <t>DCF ASSUMPTIONS (change yellow cells)</t>
  </si>
  <si>
    <t xml:space="preserve">  Revenue Growth Rate</t>
  </si>
  <si>
    <t>Links to Revenue Model for FY27-28. FY29-31 assume deceleration toward terminal growth.</t>
  </si>
  <si>
    <t xml:space="preserve">  EBITDA Margin</t>
  </si>
  <si>
    <t>Base = FY26 actual 5.3%. Expands 20-30bps/yr via backward integration (camera modules, components).</t>
  </si>
  <si>
    <t>Rising with capex. FY26 actual 0.80%. Reaches ~1.0% by FY29 as capex ₹1,200 Cr depreciates.</t>
  </si>
  <si>
    <t xml:space="preserve">  Capex as % of Revenue</t>
  </si>
  <si>
    <t>FY26 actual 2.46% (₹1,200 Cr/₹48,873 Cr). Declines as initial capacity build completes.</t>
  </si>
  <si>
    <t xml:space="preserve">  NWC Days (negative = supplier funded)</t>
  </si>
  <si>
    <t>Dixon has negative NWC: clients pay before suppliers are paid. -7 days = structural cash benefit.</t>
  </si>
  <si>
    <t>FREE CASH FLOW TO FIRM (FCFF) BUILD</t>
  </si>
  <si>
    <t xml:space="preserve">    EBITDA</t>
  </si>
  <si>
    <t xml:space="preserve">    Less: Depreciation &amp; Amortisation (D&amp;A)</t>
  </si>
  <si>
    <t>EBIT (Operating Profit)</t>
  </si>
  <si>
    <t xml:space="preserve">    Less: Tax on EBIT (@ 26%)</t>
  </si>
  <si>
    <t>NOPAT  (Net Operating PAT = EBIT × (1-t))</t>
  </si>
  <si>
    <t xml:space="preserve">    Add back: D&amp;A (non-cash)</t>
  </si>
  <si>
    <t xml:space="preserve">    Less: Capital Expenditure (Capex)</t>
  </si>
  <si>
    <t xml:space="preserve">    Less: Change in Working Capital (ΔNWC)</t>
  </si>
  <si>
    <t>FREE CASH FLOW TO FIRM (FCFF)</t>
  </si>
  <si>
    <t>DISCOUNTING  (WACC from WACC sheet)</t>
  </si>
  <si>
    <t xml:space="preserve">    Discount Period (mid-year convention)</t>
  </si>
  <si>
    <t xml:space="preserve">    Discount Factor  =  1 / (1+WACC)^t</t>
  </si>
  <si>
    <t xml:space="preserve">    PV of FCFF  =  FCFF × Discount Factor</t>
  </si>
  <si>
    <t>TERMINAL VALUE  (Gordon Growth Model)</t>
  </si>
  <si>
    <t xml:space="preserve">  Terminal Growth Rate (g)</t>
  </si>
  <si>
    <t>6.5% = India nominal GDP growth (~7% nominal GDP growth). Conservative for a company management targets ₹1L Cr revenue.</t>
  </si>
  <si>
    <t xml:space="preserve">  Terminal Year FCFF (FY31E)</t>
  </si>
  <si>
    <t>Last projection year FCFF (FY31E). Links from FCFF row above.</t>
  </si>
  <si>
    <t xml:space="preserve">  Terminal Value (TV)</t>
  </si>
  <si>
    <t>Gordon Growth: TV = FCFF × (1+g) / (WACC−g). Sensitive to g assumption — run sensitivity.</t>
  </si>
  <si>
    <t xml:space="preserve">  PV of Terminal Value</t>
  </si>
  <si>
    <t>Discount TV back to today using FY31E discount factor.</t>
  </si>
  <si>
    <t>ENTERPRISE VALUE → EQUITY VALUE → PRICE PER SHARE</t>
  </si>
  <si>
    <t>Sum of PV of FCFFs</t>
  </si>
  <si>
    <t>Sum of discounted FCFFs for FY27E–FY31E explicit period.</t>
  </si>
  <si>
    <t>PV of Terminal Value</t>
  </si>
  <si>
    <t>Links from TV section above.</t>
  </si>
  <si>
    <t>Enterprise Value (EV)</t>
  </si>
  <si>
    <t>Total EV = PV explicit FCFFs + PV Terminal Value.</t>
  </si>
  <si>
    <t>TV as % of EV</t>
  </si>
  <si>
    <t>Should typically be 60-80% for high-growth companies. &gt;90% means model is terminal-value dependent.</t>
  </si>
  <si>
    <t>Add: Cash (₹ Cr)</t>
  </si>
  <si>
    <t>Cash ₹767 Cr from balance sheet. Links to WACC sheet.</t>
  </si>
  <si>
    <t>Less: Total Debt (₹ Cr)</t>
  </si>
  <si>
    <t>Total borrowings ₹467 Cr. Links to WACC sheet.</t>
  </si>
  <si>
    <t>Equity Value (₹ Cr)</t>
  </si>
  <si>
    <t>EV + Cash - Debt = Equity Value available to shareholders.</t>
  </si>
  <si>
    <t>Diluted Shares (Cr)</t>
  </si>
  <si>
    <t>6.10 Cr diluted shares. Links to WACC sheet.</t>
  </si>
  <si>
    <t>DCF Price per Share (₹)</t>
  </si>
  <si>
    <t>Equity Value ÷ Shares. Multiply by 100 because shares stated in Cr and value in Cr.</t>
  </si>
  <si>
    <t>Current Market Price (₹)</t>
  </si>
  <si>
    <t>Links to WACC sheet. Compare with DCF implied price.</t>
  </si>
  <si>
    <t>Implied Upside / (Downside)</t>
  </si>
  <si>
    <t>Positive = stock is undervalued vs your DCF. Negative = overvalued. Your investment thesis.</t>
  </si>
  <si>
    <t>DIXON TECHNOLOGIES — SENSITIVITY ANALYSIS</t>
  </si>
  <si>
    <t>Shows DCF price per share across WACC and Terminal Growth Rate combinations.</t>
  </si>
  <si>
    <t>TABLE 1: DCF Price per Share (₹)  |  WACC (rows) vs Terminal Growth Rate (cols)</t>
  </si>
  <si>
    <t>WACC \ g →</t>
  </si>
  <si>
    <t>↑ Yellow cell = base case (WACC 13.1%, g 6.5%)</t>
  </si>
  <si>
    <t>Current market price for reference:</t>
  </si>
  <si>
    <t>← If DCF price &gt; this, stock looks undervalued on your assumptions</t>
  </si>
  <si>
    <t>TABLE 2: Impact on EBITDA (₹ Cr)  |  Revenue Growth (rows) vs EBITDA Margin (cols)</t>
  </si>
  <si>
    <t>Revenue Growth (FY27E) \ Margin →</t>
  </si>
  <si>
    <t>↑ Yellow cell = base case (20% growth, 5.5% margin). FY26 EBITDA was ₹2,580 Cr for reference.</t>
  </si>
  <si>
    <t>DIXON TECHNOLOGIES — COMPARABLE COMPANY ANALYSIS (₹ Crore)</t>
  </si>
  <si>
    <t>Source: BSE/NSE exchange filings May 2026 · Screener.in · Yahoo Finance · TradingView. All FY26 actuals.</t>
  </si>
  <si>
    <t>Revenue
(₹ Cr)</t>
  </si>
  <si>
    <t>EBITDA
(₹ Cr)</t>
  </si>
  <si>
    <t>EBITDA
Margin</t>
  </si>
  <si>
    <t>PAT
(₹ Cr)</t>
  </si>
  <si>
    <t>Mkt Cap
(₹ Cr)</t>
  </si>
  <si>
    <t>Net Debt (+debt/−cash)
(₹ Cr)</t>
  </si>
  <si>
    <t>EV
(₹ Cr)</t>
  </si>
  <si>
    <t>EV/EBITDA</t>
  </si>
  <si>
    <t>P/E
(reported)</t>
  </si>
  <si>
    <t>Rev
Growth YoY</t>
  </si>
  <si>
    <t>Dixon Technologies  (NSE:DIXON)</t>
  </si>
  <si>
    <t>Subject company. PAT includes ₹670 Cr one-time fair-value gain; adjusted PAT ~₹974 Cr (adj P/E ~70x)</t>
  </si>
  <si>
    <t>Kaynes Technology  (NSE:KAYNES)</t>
  </si>
  <si>
    <t>Industrial/auto EMS. High-margin (15.8%) design-led model. FY26 rev +33%. ECMS beneficiary. Source: BSE FY26 filing, TradingView price ₹4,136.</t>
  </si>
  <si>
    <t>Amber Enterprises  (NSE:AMBER)</t>
  </si>
  <si>
    <t>AC + electronics EMS. Electronics div grew 49% FY26. Has ₹2,500 Cr QIP debt. Adj PAT before ₹112 Cr impairment. Source: BSE May 16 2026 filing.</t>
  </si>
  <si>
    <t>PG Electroplast  (NSE:PGEL)</t>
  </si>
  <si>
    <t>Consumer appliance EMS (ACs, washing machines). Similar margin profile to Dixon. Source: Screener.in FY26 consolidated.</t>
  </si>
  <si>
    <t>Syrma SGS Technology  (NSE:SYRMA)</t>
  </si>
  <si>
    <t>PCBA/box-build, RFID, defense electronics. High margin (12%). EV/EBITDA 35.9x from Yahoo Finance June 2026.</t>
  </si>
  <si>
    <t>PEER STATISTICS (Kaynes / Amber / PGEL / Syrma — excluding Dixon)</t>
  </si>
  <si>
    <t xml:space="preserve">  Peer Mean</t>
  </si>
  <si>
    <t xml:space="preserve">  Peer Median</t>
  </si>
  <si>
    <t xml:space="preserve">  Peer Min</t>
  </si>
  <si>
    <t xml:space="preserve">  Peer Max</t>
  </si>
  <si>
    <t>IMPLIED VALUATION FOR DIXON — EV/EBITDA METHOD</t>
  </si>
  <si>
    <t>Dixon EBITDA FY26 (₹ Cr)</t>
  </si>
  <si>
    <t xml:space="preserve">  At Peer Minimum EV/EBITDA</t>
  </si>
  <si>
    <t>Peer lowest multiple (Amber 30.7x) — most conservative comparable</t>
  </si>
  <si>
    <t xml:space="preserve">  At Peer Median EV/EBITDA</t>
  </si>
  <si>
    <t>Central tendency of peer group — base case for comps</t>
  </si>
  <si>
    <t xml:space="preserve">  At Peer Mean EV/EBITDA</t>
  </si>
  <si>
    <t>Mean peer multiple — slightly higher than median</t>
  </si>
  <si>
    <t xml:space="preserve">  At Peer Maximum EV/EBITDA</t>
  </si>
  <si>
    <t>Peer highest multiple (PGEL 46.4x) — most optimistic</t>
  </si>
  <si>
    <t xml:space="preserve">  At 20% Discount to Median</t>
  </si>
  <si>
    <t>Discount for lower margin (5.3% vs 10.9% peer median). Accounts for Dixon's thinner earnings quality.</t>
  </si>
  <si>
    <t>IMPLIED PRICE PER SHARE (₹)  — EV + Cash − Debt / Shares</t>
  </si>
  <si>
    <t xml:space="preserve">  Implied Price at Peer Min</t>
  </si>
  <si>
    <t>Most bearish comps price</t>
  </si>
  <si>
    <t xml:space="preserve">  Implied Price at Peer Median</t>
  </si>
  <si>
    <t>Base case comps price</t>
  </si>
  <si>
    <t xml:space="preserve">  Implied Price at Peer Mean</t>
  </si>
  <si>
    <t xml:space="preserve">  Implied Price at Peer Max</t>
  </si>
  <si>
    <t>Most bullish comps price</t>
  </si>
  <si>
    <t xml:space="preserve">  Implied Price at 20% Discount</t>
  </si>
  <si>
    <t>Margin-adjusted comps price</t>
  </si>
  <si>
    <t xml:space="preserve">  Current market price (₹)</t>
  </si>
  <si>
    <t>NSE: DIXON closing price. Compare implied comps prices above vs current to assess relative value.</t>
  </si>
  <si>
    <t>KEY COMPS INSIGHT — WHAT THIS MEANS FOR YOUR THESIS</t>
  </si>
  <si>
    <t xml:space="preserve">  1. Dixon trades at ~26.5x EV/EBITDA vs peer median ~39x — a 32% DISCOUNT to the peer group.</t>
  </si>
  <si>
    <t xml:space="preserve">  2. BUT: Dixon's EBITDA margin (5.3%) is far below peers like Kaynes (15.8%) and Syrma (12%) — lower margins deserve lower multiples.</t>
  </si>
  <si>
    <t xml:space="preserve">  3. Even at a 20% discount to peer median (~31x), comps imply Dixon price ABOVE current market price → comps say BUY.</t>
  </si>
  <si>
    <t xml:space="preserve">  4. DCF base case says HOLD/SELL (₹7,500). Comps say BUY (₹13,000+). The gap is the market's growth premium for PLI/Vivo optionality.</t>
  </si>
  <si>
    <t xml:space="preserve">  5. Recommendation: HOLD. Dixon must execute on margin expansion (&gt;6% by FY28) and Vivo approval to close the DCF gap. Comps support the stock near current levels.</t>
  </si>
  <si>
    <t>Om Chaudhari</t>
  </si>
  <si>
    <t>https://www.dixoninfo.com/financial-performance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</si>
</sst>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0.000"/>
    <numFmt numFmtId="167" formatCode="0.0\x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9"/>
      <color rgb="FF000000"/>
      <name val="Arial"/>
      <family val="2"/>
    </font>
    <font>
      <i/>
      <sz val="10"/>
      <color rgb="FF999999"/>
      <name val="Arial"/>
      <family val="2"/>
    </font>
    <font>
      <b/>
      <sz val="9"/>
      <color rgb="FFFFFFFF"/>
      <name val="Arial"/>
      <family val="2"/>
    </font>
    <font>
      <b/>
      <sz val="10"/>
      <color rgb="FF0000FF"/>
      <name val="Arial"/>
      <family val="2"/>
    </font>
    <font>
      <b/>
      <sz val="13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27500A"/>
      <name val="Arial"/>
      <family val="2"/>
    </font>
    <font>
      <i/>
      <sz val="10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BDD7EE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EBF3E8"/>
        <bgColor rgb="FFEAF3DE"/>
      </patternFill>
    </fill>
    <fill>
      <patternFill patternType="solid">
        <fgColor rgb="FFFFF2CC"/>
        <bgColor rgb="FFFAEEDA"/>
      </patternFill>
    </fill>
    <fill>
      <patternFill patternType="solid">
        <fgColor rgb="FFFFFBF0"/>
        <bgColor rgb="FFFFFBEF"/>
      </patternFill>
    </fill>
    <fill>
      <patternFill patternType="solid">
        <fgColor rgb="FFF2F2F2"/>
        <bgColor rgb="FFEBF3E8"/>
      </patternFill>
    </fill>
    <fill>
      <patternFill patternType="solid">
        <fgColor rgb="FFFF7B00"/>
        <bgColor rgb="FFFF9900"/>
      </patternFill>
    </fill>
    <fill>
      <patternFill patternType="solid">
        <fgColor rgb="FFFFFF00"/>
        <bgColor rgb="FFFFCC00"/>
      </patternFill>
    </fill>
    <fill>
      <patternFill patternType="solid">
        <fgColor rgb="FFFFFBEF"/>
        <bgColor rgb="FFFFFBF0"/>
      </patternFill>
    </fill>
    <fill>
      <patternFill patternType="solid">
        <fgColor rgb="FFFFFFFF"/>
        <bgColor rgb="FFFFFBF0"/>
      </patternFill>
    </fill>
    <fill>
      <patternFill patternType="solid">
        <fgColor rgb="FFFCE4D6"/>
        <bgColor rgb="FFFAEEDA"/>
      </patternFill>
    </fill>
    <fill>
      <patternFill patternType="solid">
        <fgColor rgb="FFE2EFDA"/>
        <bgColor rgb="FFEAF3DE"/>
      </patternFill>
    </fill>
    <fill>
      <patternFill patternType="solid">
        <fgColor rgb="FFEAF3DE"/>
        <bgColor rgb="FFEBF3E8"/>
      </patternFill>
    </fill>
    <fill>
      <patternFill patternType="solid">
        <fgColor rgb="FFFAEEDA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2" fillId="12" borderId="0" xfId="0" applyFont="1" applyFill="1" applyAlignment="1">
      <alignment horizontal="left" vertical="center"/>
    </xf>
    <xf numFmtId="0" fontId="22" fillId="7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3" fontId="6" fillId="4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8" fillId="0" borderId="0" xfId="0" applyFont="1"/>
    <xf numFmtId="0" fontId="3" fillId="8" borderId="0" xfId="0" applyFont="1" applyFill="1" applyAlignment="1">
      <alignment horizontal="left" vertical="center"/>
    </xf>
    <xf numFmtId="3" fontId="3" fillId="8" borderId="0" xfId="0" applyNumberFormat="1" applyFont="1" applyFill="1" applyAlignment="1">
      <alignment horizontal="right" vertical="center"/>
    </xf>
    <xf numFmtId="0" fontId="10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right" vertical="center"/>
    </xf>
    <xf numFmtId="0" fontId="10" fillId="8" borderId="0" xfId="0" applyFont="1" applyFill="1" applyAlignment="1">
      <alignment horizontal="center" vertical="center"/>
    </xf>
    <xf numFmtId="164" fontId="3" fillId="8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164" fontId="6" fillId="10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3" fontId="4" fillId="5" borderId="0" xfId="0" applyNumberFormat="1" applyFont="1" applyFill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164" fontId="3" fillId="5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3" fontId="4" fillId="4" borderId="0" xfId="0" applyNumberFormat="1" applyFont="1" applyFill="1" applyAlignment="1">
      <alignment horizontal="right" vertical="center"/>
    </xf>
    <xf numFmtId="4" fontId="6" fillId="4" borderId="0" xfId="0" applyNumberFormat="1" applyFont="1" applyFill="1" applyAlignment="1">
      <alignment horizontal="right" vertical="center"/>
    </xf>
    <xf numFmtId="3" fontId="6" fillId="10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9" fontId="4" fillId="7" borderId="0" xfId="0" applyNumberFormat="1" applyFont="1" applyFill="1" applyAlignment="1">
      <alignment horizontal="right" vertical="center"/>
    </xf>
    <xf numFmtId="0" fontId="4" fillId="7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/>
    </xf>
    <xf numFmtId="9" fontId="4" fillId="12" borderId="0" xfId="0" applyNumberFormat="1" applyFont="1" applyFill="1" applyAlignment="1">
      <alignment horizontal="right" vertical="center"/>
    </xf>
    <xf numFmtId="0" fontId="4" fillId="12" borderId="0" xfId="0" applyFont="1" applyFill="1" applyAlignment="1">
      <alignment horizontal="left" vertical="center" wrapText="1"/>
    </xf>
    <xf numFmtId="164" fontId="4" fillId="7" borderId="0" xfId="0" applyNumberFormat="1" applyFont="1" applyFill="1" applyAlignment="1">
      <alignment horizontal="right" vertical="center"/>
    </xf>
    <xf numFmtId="164" fontId="4" fillId="12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 wrapText="1"/>
    </xf>
    <xf numFmtId="0" fontId="4" fillId="14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 wrapText="1"/>
    </xf>
    <xf numFmtId="2" fontId="6" fillId="10" borderId="0" xfId="0" applyNumberFormat="1" applyFont="1" applyFill="1" applyAlignment="1">
      <alignment horizontal="right" vertical="center"/>
    </xf>
    <xf numFmtId="164" fontId="3" fillId="15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164" fontId="14" fillId="15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wrapText="1"/>
    </xf>
    <xf numFmtId="164" fontId="15" fillId="4" borderId="0" xfId="0" applyNumberFormat="1" applyFont="1" applyFill="1" applyAlignment="1">
      <alignment horizontal="right" vertical="center"/>
    </xf>
    <xf numFmtId="164" fontId="6" fillId="4" borderId="0" xfId="0" applyNumberFormat="1" applyFont="1" applyFill="1" applyAlignment="1">
      <alignment horizontal="right" vertical="center"/>
    </xf>
    <xf numFmtId="1" fontId="6" fillId="4" borderId="0" xfId="0" applyNumberFormat="1" applyFont="1" applyFill="1" applyAlignment="1">
      <alignment horizontal="right" vertical="center"/>
    </xf>
    <xf numFmtId="1" fontId="6" fillId="10" borderId="0" xfId="0" applyNumberFormat="1" applyFont="1" applyFill="1" applyAlignment="1">
      <alignment horizontal="right" vertical="center"/>
    </xf>
    <xf numFmtId="3" fontId="16" fillId="4" borderId="0" xfId="0" applyNumberFormat="1" applyFont="1" applyFill="1" applyAlignment="1">
      <alignment horizontal="right" vertical="center"/>
    </xf>
    <xf numFmtId="3" fontId="3" fillId="5" borderId="0" xfId="0" applyNumberFormat="1" applyFont="1" applyFill="1" applyAlignment="1">
      <alignment horizontal="right" vertical="center"/>
    </xf>
    <xf numFmtId="3" fontId="3" fillId="15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3" fontId="18" fillId="8" borderId="0" xfId="0" applyNumberFormat="1" applyFont="1" applyFill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165" fontId="6" fillId="10" borderId="0" xfId="0" applyNumberFormat="1" applyFont="1" applyFill="1" applyAlignment="1">
      <alignment horizontal="right" vertical="center"/>
    </xf>
    <xf numFmtId="166" fontId="4" fillId="4" borderId="0" xfId="0" applyNumberFormat="1" applyFont="1" applyFill="1" applyAlignment="1">
      <alignment horizontal="right" vertical="center"/>
    </xf>
    <xf numFmtId="166" fontId="4" fillId="5" borderId="0" xfId="0" applyNumberFormat="1" applyFont="1" applyFill="1" applyAlignment="1">
      <alignment horizontal="right" vertical="center"/>
    </xf>
    <xf numFmtId="3" fontId="15" fillId="4" borderId="0" xfId="0" applyNumberFormat="1" applyFont="1" applyFill="1" applyAlignment="1">
      <alignment horizontal="right" vertical="center"/>
    </xf>
    <xf numFmtId="3" fontId="16" fillId="15" borderId="0" xfId="0" applyNumberFormat="1" applyFont="1" applyFill="1" applyAlignment="1">
      <alignment horizontal="right" vertical="center"/>
    </xf>
    <xf numFmtId="2" fontId="15" fillId="4" borderId="0" xfId="0" applyNumberFormat="1" applyFont="1" applyFill="1" applyAlignment="1">
      <alignment horizontal="right" vertical="center"/>
    </xf>
    <xf numFmtId="3" fontId="19" fillId="15" borderId="0" xfId="0" applyNumberFormat="1" applyFont="1" applyFill="1" applyAlignment="1">
      <alignment horizontal="right" vertical="center"/>
    </xf>
    <xf numFmtId="164" fontId="20" fillId="15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3" fillId="10" borderId="0" xfId="0" applyNumberFormat="1" applyFont="1" applyFill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left" vertical="center"/>
    </xf>
    <xf numFmtId="3" fontId="12" fillId="14" borderId="0" xfId="0" applyNumberFormat="1" applyFont="1" applyFill="1" applyAlignment="1">
      <alignment horizontal="right" vertical="center"/>
    </xf>
    <xf numFmtId="164" fontId="12" fillId="14" borderId="0" xfId="0" applyNumberFormat="1" applyFont="1" applyFill="1" applyAlignment="1">
      <alignment horizontal="right" vertical="center"/>
    </xf>
    <xf numFmtId="3" fontId="3" fillId="14" borderId="0" xfId="0" applyNumberFormat="1" applyFont="1" applyFill="1" applyAlignment="1">
      <alignment horizontal="right" vertical="center"/>
    </xf>
    <xf numFmtId="167" fontId="4" fillId="14" borderId="0" xfId="0" applyNumberFormat="1" applyFont="1" applyFill="1" applyAlignment="1">
      <alignment horizontal="right"/>
    </xf>
    <xf numFmtId="167" fontId="3" fillId="1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left" vertical="center"/>
    </xf>
    <xf numFmtId="167" fontId="4" fillId="4" borderId="0" xfId="0" applyNumberFormat="1" applyFont="1" applyFill="1" applyAlignment="1">
      <alignment horizontal="right"/>
    </xf>
    <xf numFmtId="167" fontId="4" fillId="4" borderId="0" xfId="0" applyNumberFormat="1" applyFont="1" applyFill="1" applyAlignment="1">
      <alignment horizontal="right" vertical="center"/>
    </xf>
    <xf numFmtId="167" fontId="3" fillId="8" borderId="0" xfId="0" applyNumberFormat="1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3" fontId="16" fillId="14" borderId="0" xfId="0" applyNumberFormat="1" applyFont="1" applyFill="1" applyAlignment="1">
      <alignment horizontal="right" vertical="center"/>
    </xf>
    <xf numFmtId="3" fontId="4" fillId="15" borderId="0" xfId="0" applyNumberFormat="1" applyFont="1" applyFill="1" applyAlignment="1">
      <alignment horizontal="right" vertical="center"/>
    </xf>
    <xf numFmtId="0" fontId="3" fillId="0" borderId="0" xfId="0" applyFont="1"/>
    <xf numFmtId="3" fontId="16" fillId="0" borderId="0" xfId="0" applyNumberFormat="1" applyFont="1" applyAlignment="1">
      <alignment horizontal="right" vertical="center"/>
    </xf>
    <xf numFmtId="15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F3DE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BF0"/>
      <rgbColor rgb="FF00FFFF"/>
      <rgbColor rgb="FF800080"/>
      <rgbColor rgb="FF800000"/>
      <rgbColor rgb="FF008080"/>
      <rgbColor rgb="FF0000FF"/>
      <rgbColor rgb="FF00CCFF"/>
      <rgbColor rgb="FFEBF3E8"/>
      <rgbColor rgb="FFE2EFDA"/>
      <rgbColor rgb="FFFAEEDA"/>
      <rgbColor rgb="FFF2F2F2"/>
      <rgbColor rgb="FFFFFBEF"/>
      <rgbColor rgb="FFCC99FF"/>
      <rgbColor rgb="FFFCE4D6"/>
      <rgbColor rgb="FF3366FF"/>
      <rgbColor rgb="FF33CCCC"/>
      <rgbColor rgb="FF99CC00"/>
      <rgbColor rgb="FFFFCC00"/>
      <rgbColor rgb="FFFF9900"/>
      <rgbColor rgb="FFFF7B00"/>
      <rgbColor rgb="FF666666"/>
      <rgbColor rgb="FF999999"/>
      <rgbColor rgb="FF003366"/>
      <rgbColor rgb="FF339966"/>
      <rgbColor rgb="FF003300"/>
      <rgbColor rgb="FF27500A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zoomScaleNormal="100" workbookViewId="0">
      <selection activeCell="B25" sqref="B25"/>
    </sheetView>
  </sheetViews>
  <sheetFormatPr baseColWidth="10" defaultColWidth="8.6640625" defaultRowHeight="15" x14ac:dyDescent="0.2"/>
  <cols>
    <col min="1" max="2" width="40" customWidth="1"/>
  </cols>
  <sheetData>
    <row r="1" spans="1:2" ht="17.25" customHeight="1" x14ac:dyDescent="0.2">
      <c r="A1" s="13" t="s">
        <v>0</v>
      </c>
      <c r="B1" s="13"/>
    </row>
    <row r="2" spans="1:2" ht="15" customHeight="1" x14ac:dyDescent="0.2">
      <c r="A2" s="12" t="s">
        <v>1</v>
      </c>
      <c r="B2" s="12"/>
    </row>
    <row r="4" spans="1:2" ht="15" customHeight="1" x14ac:dyDescent="0.2">
      <c r="A4" s="14" t="s">
        <v>2</v>
      </c>
      <c r="B4" s="15" t="s">
        <v>3</v>
      </c>
    </row>
    <row r="5" spans="1:2" ht="15" customHeight="1" x14ac:dyDescent="0.2">
      <c r="A5" s="14" t="s">
        <v>4</v>
      </c>
      <c r="B5" s="15" t="s">
        <v>5</v>
      </c>
    </row>
    <row r="6" spans="1:2" ht="15" customHeight="1" x14ac:dyDescent="0.2">
      <c r="A6" s="14" t="s">
        <v>6</v>
      </c>
      <c r="B6" s="15" t="s">
        <v>7</v>
      </c>
    </row>
    <row r="7" spans="1:2" ht="15" customHeight="1" x14ac:dyDescent="0.2">
      <c r="A7" s="14" t="s">
        <v>8</v>
      </c>
      <c r="B7" s="15" t="s">
        <v>321</v>
      </c>
    </row>
    <row r="8" spans="1:2" ht="15" customHeight="1" x14ac:dyDescent="0.2">
      <c r="A8" s="14" t="s">
        <v>9</v>
      </c>
      <c r="B8" s="101">
        <v>46181</v>
      </c>
    </row>
    <row r="9" spans="1:2" ht="15" customHeight="1" x14ac:dyDescent="0.2">
      <c r="A9" s="14" t="s">
        <v>10</v>
      </c>
      <c r="B9" s="15" t="s">
        <v>11</v>
      </c>
    </row>
    <row r="10" spans="1:2" ht="15" customHeight="1" x14ac:dyDescent="0.2">
      <c r="A10" s="14" t="s">
        <v>12</v>
      </c>
      <c r="B10" s="15" t="s">
        <v>13</v>
      </c>
    </row>
    <row r="11" spans="1:2" ht="15" customHeight="1" x14ac:dyDescent="0.2">
      <c r="A11" s="14" t="s">
        <v>14</v>
      </c>
      <c r="B11" s="15" t="s">
        <v>15</v>
      </c>
    </row>
    <row r="13" spans="1:2" ht="15" customHeight="1" x14ac:dyDescent="0.2">
      <c r="A13" s="14" t="s">
        <v>16</v>
      </c>
      <c r="B13" s="15" t="s">
        <v>17</v>
      </c>
    </row>
    <row r="14" spans="1:2" ht="15" customHeight="1" x14ac:dyDescent="0.2">
      <c r="A14" s="14" t="s">
        <v>18</v>
      </c>
      <c r="B14" s="15" t="s">
        <v>322</v>
      </c>
    </row>
    <row r="15" spans="1:2" ht="15" customHeight="1" x14ac:dyDescent="0.2">
      <c r="A15" s="14" t="s">
        <v>19</v>
      </c>
      <c r="B15" s="15" t="s">
        <v>20</v>
      </c>
    </row>
    <row r="17" spans="1:2" ht="15" customHeight="1" x14ac:dyDescent="0.2">
      <c r="A17" s="11" t="s">
        <v>21</v>
      </c>
      <c r="B17" s="11"/>
    </row>
    <row r="18" spans="1:2" ht="15" customHeight="1" x14ac:dyDescent="0.2">
      <c r="A18" s="14" t="s">
        <v>22</v>
      </c>
      <c r="B18" s="15" t="s">
        <v>23</v>
      </c>
    </row>
    <row r="19" spans="1:2" ht="15" customHeight="1" x14ac:dyDescent="0.2">
      <c r="A19" s="14" t="s">
        <v>24</v>
      </c>
      <c r="B19" s="15" t="s">
        <v>25</v>
      </c>
    </row>
    <row r="20" spans="1:2" ht="15" customHeight="1" x14ac:dyDescent="0.2">
      <c r="A20" s="14" t="s">
        <v>26</v>
      </c>
      <c r="B20" s="15" t="s">
        <v>27</v>
      </c>
    </row>
    <row r="22" spans="1:2" ht="15" customHeight="1" x14ac:dyDescent="0.2">
      <c r="A22" s="10" t="s">
        <v>28</v>
      </c>
      <c r="B22" s="10"/>
    </row>
    <row r="23" spans="1:2" ht="15" customHeight="1" x14ac:dyDescent="0.2">
      <c r="A23" s="18" t="s">
        <v>29</v>
      </c>
      <c r="B23" s="15" t="s">
        <v>30</v>
      </c>
    </row>
    <row r="24" spans="1:2" ht="15" customHeight="1" x14ac:dyDescent="0.2">
      <c r="A24" s="15" t="s">
        <v>31</v>
      </c>
      <c r="B24" s="15" t="s">
        <v>32</v>
      </c>
    </row>
    <row r="25" spans="1:2" ht="15" customHeight="1" x14ac:dyDescent="0.2">
      <c r="A25" s="15" t="s">
        <v>33</v>
      </c>
      <c r="B25" s="15" t="s">
        <v>34</v>
      </c>
    </row>
    <row r="26" spans="1:2" ht="15" customHeight="1" x14ac:dyDescent="0.2">
      <c r="A26" s="15" t="s">
        <v>35</v>
      </c>
      <c r="B26" s="15" t="s">
        <v>36</v>
      </c>
    </row>
    <row r="27" spans="1:2" ht="15" customHeight="1" x14ac:dyDescent="0.2">
      <c r="A27" s="15" t="s">
        <v>37</v>
      </c>
      <c r="B27" s="15" t="s">
        <v>38</v>
      </c>
    </row>
  </sheetData>
  <mergeCells count="4">
    <mergeCell ref="A1:B1"/>
    <mergeCell ref="A2:B2"/>
    <mergeCell ref="A17:B17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36" customWidth="1"/>
    <col min="2" max="8" width="14" customWidth="1"/>
    <col min="9" max="9" width="55" customWidth="1"/>
  </cols>
  <sheetData>
    <row r="1" spans="1:8" ht="15" customHeight="1" x14ac:dyDescent="0.2">
      <c r="A1" s="9" t="s">
        <v>39</v>
      </c>
      <c r="B1" s="9"/>
      <c r="C1" s="9"/>
      <c r="D1" s="9"/>
      <c r="E1" s="9"/>
      <c r="F1" s="9"/>
      <c r="G1" s="9"/>
      <c r="H1" s="9"/>
    </row>
    <row r="2" spans="1:8" ht="15" customHeight="1" x14ac:dyDescent="0.2">
      <c r="A2" s="8" t="s">
        <v>40</v>
      </c>
      <c r="B2" s="8"/>
      <c r="C2" s="8"/>
      <c r="D2" s="8"/>
      <c r="E2" s="8"/>
      <c r="F2" s="8"/>
      <c r="G2" s="8"/>
      <c r="H2" s="8"/>
    </row>
    <row r="4" spans="1:8" ht="30" customHeight="1" x14ac:dyDescent="0.2">
      <c r="A4" s="16" t="s">
        <v>41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1" t="s">
        <v>47</v>
      </c>
      <c r="H4" s="21" t="s">
        <v>48</v>
      </c>
    </row>
    <row r="6" spans="1:8" ht="15" customHeight="1" x14ac:dyDescent="0.2">
      <c r="A6" s="22" t="s">
        <v>49</v>
      </c>
      <c r="B6" s="23">
        <v>9212</v>
      </c>
      <c r="C6" s="23">
        <v>10450</v>
      </c>
      <c r="D6" s="23">
        <v>14342</v>
      </c>
      <c r="E6" s="23">
        <v>33049</v>
      </c>
      <c r="F6" s="23">
        <v>43986</v>
      </c>
    </row>
    <row r="7" spans="1:8" ht="15" customHeight="1" x14ac:dyDescent="0.2">
      <c r="A7" s="24" t="s">
        <v>50</v>
      </c>
      <c r="B7" s="23">
        <v>904</v>
      </c>
      <c r="C7" s="23">
        <v>901</v>
      </c>
      <c r="D7" s="23">
        <v>1850</v>
      </c>
      <c r="E7" s="23">
        <v>3491</v>
      </c>
      <c r="F7" s="23">
        <v>3421</v>
      </c>
    </row>
    <row r="8" spans="1:8" ht="15" customHeight="1" x14ac:dyDescent="0.2">
      <c r="A8" s="22" t="s">
        <v>51</v>
      </c>
      <c r="B8" s="23">
        <v>420</v>
      </c>
      <c r="C8" s="23">
        <v>653</v>
      </c>
      <c r="D8" s="23">
        <v>1006</v>
      </c>
      <c r="E8" s="23">
        <v>1285</v>
      </c>
      <c r="F8" s="23">
        <v>1466</v>
      </c>
    </row>
    <row r="9" spans="1:8" ht="15" customHeight="1" x14ac:dyDescent="0.2">
      <c r="A9" s="24" t="s">
        <v>52</v>
      </c>
      <c r="B9" s="23">
        <v>153</v>
      </c>
      <c r="C9" s="23">
        <v>188</v>
      </c>
      <c r="D9" s="23">
        <v>493</v>
      </c>
      <c r="E9" s="23">
        <v>1035</v>
      </c>
      <c r="F9" s="23">
        <v>0</v>
      </c>
      <c r="H9" s="25" t="s">
        <v>53</v>
      </c>
    </row>
    <row r="10" spans="1:8" ht="15" customHeight="1" x14ac:dyDescent="0.2">
      <c r="A10" s="26" t="s">
        <v>54</v>
      </c>
      <c r="B10" s="27">
        <f>SUM(B6:B9)</f>
        <v>10689</v>
      </c>
      <c r="C10" s="27">
        <f>SUM(C6:C9)</f>
        <v>12192</v>
      </c>
      <c r="D10" s="27">
        <f>SUM(D6:D9)</f>
        <v>17691</v>
      </c>
      <c r="E10" s="27">
        <f>SUM(E6:E9)</f>
        <v>38860</v>
      </c>
      <c r="F10" s="27">
        <f>SUM(F6:F9)</f>
        <v>48873</v>
      </c>
    </row>
    <row r="12" spans="1:8" ht="15" customHeight="1" x14ac:dyDescent="0.2">
      <c r="A12" s="7" t="s">
        <v>55</v>
      </c>
      <c r="B12" s="7"/>
      <c r="C12" s="7"/>
      <c r="D12" s="7"/>
      <c r="E12" s="7"/>
      <c r="F12" s="7"/>
      <c r="G12" s="7"/>
      <c r="H12" s="7"/>
    </row>
    <row r="13" spans="1:8" ht="15" customHeight="1" x14ac:dyDescent="0.2">
      <c r="A13" s="22" t="s">
        <v>49</v>
      </c>
      <c r="B13" s="28" t="s">
        <v>56</v>
      </c>
      <c r="C13" s="29">
        <f t="shared" ref="C13:F17" si="0">(C6-B6)/B6</f>
        <v>0.13438992618323925</v>
      </c>
      <c r="D13" s="29">
        <f t="shared" si="0"/>
        <v>0.37244019138755979</v>
      </c>
      <c r="E13" s="29">
        <f t="shared" si="0"/>
        <v>1.3043508576209735</v>
      </c>
      <c r="F13" s="29">
        <f t="shared" si="0"/>
        <v>0.33093285727253474</v>
      </c>
    </row>
    <row r="14" spans="1:8" ht="15" customHeight="1" x14ac:dyDescent="0.2">
      <c r="A14" s="24" t="s">
        <v>50</v>
      </c>
      <c r="B14" s="28" t="s">
        <v>56</v>
      </c>
      <c r="C14" s="29">
        <f t="shared" si="0"/>
        <v>-3.3185840707964601E-3</v>
      </c>
      <c r="D14" s="29">
        <f t="shared" si="0"/>
        <v>1.053274139844617</v>
      </c>
      <c r="E14" s="29">
        <f t="shared" si="0"/>
        <v>0.88702702702702707</v>
      </c>
      <c r="F14" s="29">
        <f t="shared" si="0"/>
        <v>-2.0051561157261529E-2</v>
      </c>
    </row>
    <row r="15" spans="1:8" ht="15" customHeight="1" x14ac:dyDescent="0.2">
      <c r="A15" s="22" t="s">
        <v>51</v>
      </c>
      <c r="B15" s="28" t="s">
        <v>56</v>
      </c>
      <c r="C15" s="29">
        <f t="shared" si="0"/>
        <v>0.55476190476190479</v>
      </c>
      <c r="D15" s="29">
        <f t="shared" si="0"/>
        <v>0.5405819295558959</v>
      </c>
      <c r="E15" s="29">
        <f t="shared" si="0"/>
        <v>0.27733598409542742</v>
      </c>
      <c r="F15" s="29">
        <f t="shared" si="0"/>
        <v>0.14085603112840467</v>
      </c>
    </row>
    <row r="16" spans="1:8" ht="15" customHeight="1" x14ac:dyDescent="0.2">
      <c r="A16" s="24" t="s">
        <v>52</v>
      </c>
      <c r="B16" s="28" t="s">
        <v>56</v>
      </c>
      <c r="C16" s="29">
        <f t="shared" si="0"/>
        <v>0.22875816993464052</v>
      </c>
      <c r="D16" s="29">
        <f t="shared" si="0"/>
        <v>1.6223404255319149</v>
      </c>
      <c r="E16" s="29">
        <f t="shared" si="0"/>
        <v>1.0993914807302232</v>
      </c>
      <c r="F16" s="29">
        <f t="shared" si="0"/>
        <v>-1</v>
      </c>
    </row>
    <row r="17" spans="1:9" ht="15" customHeight="1" x14ac:dyDescent="0.2">
      <c r="A17" s="26" t="s">
        <v>57</v>
      </c>
      <c r="B17" s="30" t="s">
        <v>56</v>
      </c>
      <c r="C17" s="31">
        <f t="shared" si="0"/>
        <v>0.14061184395172607</v>
      </c>
      <c r="D17" s="31">
        <f t="shared" si="0"/>
        <v>0.45103346456692911</v>
      </c>
      <c r="E17" s="31">
        <f t="shared" si="0"/>
        <v>1.1965971397885931</v>
      </c>
      <c r="F17" s="31">
        <f t="shared" si="0"/>
        <v>0.25766855378281006</v>
      </c>
    </row>
    <row r="19" spans="1:9" ht="15" customHeight="1" x14ac:dyDescent="0.2">
      <c r="A19" s="6" t="s">
        <v>58</v>
      </c>
      <c r="B19" s="6"/>
      <c r="C19" s="6"/>
      <c r="D19" s="6"/>
      <c r="E19" s="6"/>
      <c r="F19" s="6"/>
      <c r="G19" s="6"/>
      <c r="H19" s="6"/>
    </row>
    <row r="20" spans="1:9" ht="15" customHeight="1" x14ac:dyDescent="0.2">
      <c r="A20" s="17" t="s">
        <v>41</v>
      </c>
      <c r="G20" s="32" t="s">
        <v>59</v>
      </c>
      <c r="H20" s="32" t="s">
        <v>60</v>
      </c>
    </row>
    <row r="21" spans="1:9" ht="15" customHeight="1" x14ac:dyDescent="0.2">
      <c r="A21" s="33" t="s">
        <v>61</v>
      </c>
      <c r="G21" s="34">
        <v>0.2</v>
      </c>
      <c r="H21" s="34">
        <v>0.18</v>
      </c>
      <c r="I21" s="35" t="s">
        <v>62</v>
      </c>
    </row>
    <row r="22" spans="1:9" ht="15" customHeight="1" x14ac:dyDescent="0.2">
      <c r="A22" s="33" t="s">
        <v>63</v>
      </c>
      <c r="G22" s="34">
        <v>0.08</v>
      </c>
      <c r="H22" s="34">
        <v>0.1</v>
      </c>
      <c r="I22" s="35" t="s">
        <v>64</v>
      </c>
    </row>
    <row r="23" spans="1:9" ht="15" customHeight="1" x14ac:dyDescent="0.2">
      <c r="A23" s="33" t="s">
        <v>65</v>
      </c>
      <c r="G23" s="34">
        <v>0.18</v>
      </c>
      <c r="H23" s="34">
        <v>0.2</v>
      </c>
      <c r="I23" s="35" t="s">
        <v>66</v>
      </c>
    </row>
    <row r="24" spans="1:9" ht="15" customHeight="1" x14ac:dyDescent="0.2">
      <c r="A24" s="33" t="s">
        <v>67</v>
      </c>
      <c r="G24" s="34">
        <v>0.48</v>
      </c>
      <c r="H24" s="34">
        <v>0.25</v>
      </c>
      <c r="I24" s="35" t="s">
        <v>68</v>
      </c>
    </row>
    <row r="26" spans="1:9" ht="15" customHeight="1" x14ac:dyDescent="0.2">
      <c r="A26" s="7" t="s">
        <v>69</v>
      </c>
      <c r="B26" s="7"/>
      <c r="C26" s="7"/>
      <c r="D26" s="7"/>
      <c r="E26" s="7"/>
      <c r="F26" s="7"/>
      <c r="G26" s="7"/>
      <c r="H26" s="7"/>
    </row>
    <row r="27" spans="1:9" ht="15" customHeight="1" x14ac:dyDescent="0.2">
      <c r="A27" s="22" t="s">
        <v>49</v>
      </c>
      <c r="G27" s="36">
        <f>F6*(1+G21)</f>
        <v>52783.199999999997</v>
      </c>
      <c r="H27" s="36">
        <f>G27*(1+H21)</f>
        <v>62284.175999999992</v>
      </c>
    </row>
    <row r="28" spans="1:9" ht="15" customHeight="1" x14ac:dyDescent="0.2">
      <c r="A28" s="37" t="s">
        <v>50</v>
      </c>
      <c r="G28" s="36">
        <f>F7*(1+G22)</f>
        <v>3694.6800000000003</v>
      </c>
      <c r="H28" s="36">
        <f>G28*(1+H22)</f>
        <v>4064.1480000000006</v>
      </c>
    </row>
    <row r="29" spans="1:9" ht="15" customHeight="1" x14ac:dyDescent="0.2">
      <c r="A29" s="22" t="s">
        <v>51</v>
      </c>
      <c r="G29" s="36">
        <f>F8*(1+G23)</f>
        <v>1729.8799999999999</v>
      </c>
      <c r="H29" s="36">
        <f>G29*(1+H23)</f>
        <v>2075.8559999999998</v>
      </c>
    </row>
    <row r="30" spans="1:9" ht="15" customHeight="1" x14ac:dyDescent="0.2">
      <c r="A30" s="37" t="s">
        <v>52</v>
      </c>
      <c r="G30" s="36">
        <f>F9*(1+G24)</f>
        <v>0</v>
      </c>
      <c r="H30" s="36">
        <f>G30*(1+H24)</f>
        <v>0</v>
      </c>
    </row>
    <row r="31" spans="1:9" ht="15" customHeight="1" x14ac:dyDescent="0.2">
      <c r="A31" s="26" t="s">
        <v>70</v>
      </c>
      <c r="G31" s="27">
        <f>SUM(G27:G30)</f>
        <v>58207.759999999995</v>
      </c>
      <c r="H31" s="27">
        <f>SUM(H27:H30)</f>
        <v>68424.179999999993</v>
      </c>
    </row>
    <row r="32" spans="1:9" ht="15" customHeight="1" x14ac:dyDescent="0.2">
      <c r="A32" s="26" t="s">
        <v>71</v>
      </c>
      <c r="G32" s="38">
        <f>(G31-F10)/F10</f>
        <v>0.19100034784032072</v>
      </c>
      <c r="H32" s="38">
        <f>(H31-G31)/G31</f>
        <v>0.17551646034824223</v>
      </c>
    </row>
  </sheetData>
  <mergeCells count="5">
    <mergeCell ref="A1:H1"/>
    <mergeCell ref="A2:H2"/>
    <mergeCell ref="A12:H12"/>
    <mergeCell ref="A19:H19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topLeftCell="D1" zoomScaleNormal="100" workbookViewId="0">
      <selection activeCell="L1" sqref="L1"/>
    </sheetView>
  </sheetViews>
  <sheetFormatPr baseColWidth="10" defaultColWidth="8.6640625" defaultRowHeight="15" x14ac:dyDescent="0.2"/>
  <cols>
    <col min="1" max="1" width="36" customWidth="1"/>
    <col min="2" max="8" width="14" customWidth="1"/>
    <col min="9" max="9" width="45" customWidth="1"/>
  </cols>
  <sheetData>
    <row r="1" spans="1:8" ht="15" customHeight="1" x14ac:dyDescent="0.2">
      <c r="A1" s="9" t="s">
        <v>72</v>
      </c>
      <c r="B1" s="9"/>
      <c r="C1" s="9"/>
      <c r="D1" s="9"/>
      <c r="E1" s="9"/>
      <c r="F1" s="9"/>
      <c r="G1" s="9"/>
      <c r="H1" s="9"/>
    </row>
    <row r="2" spans="1:8" ht="15" customHeight="1" x14ac:dyDescent="0.2">
      <c r="A2" s="8" t="s">
        <v>73</v>
      </c>
      <c r="B2" s="8"/>
      <c r="C2" s="8"/>
      <c r="D2" s="8"/>
      <c r="E2" s="8"/>
      <c r="F2" s="8"/>
      <c r="G2" s="8"/>
      <c r="H2" s="8"/>
    </row>
    <row r="4" spans="1:8" ht="30" customHeight="1" x14ac:dyDescent="0.2">
      <c r="A4" s="16" t="s">
        <v>74</v>
      </c>
      <c r="B4" s="20" t="s">
        <v>42</v>
      </c>
      <c r="C4" s="20" t="s">
        <v>43</v>
      </c>
      <c r="D4" s="20" t="s">
        <v>44</v>
      </c>
      <c r="E4" s="20" t="s">
        <v>45</v>
      </c>
      <c r="F4" s="20" t="s">
        <v>46</v>
      </c>
      <c r="G4" s="21" t="s">
        <v>47</v>
      </c>
      <c r="H4" s="21" t="s">
        <v>48</v>
      </c>
    </row>
    <row r="5" spans="1:8" ht="15" customHeight="1" x14ac:dyDescent="0.2">
      <c r="A5" s="26" t="s">
        <v>75</v>
      </c>
      <c r="B5" s="27">
        <f>'Revenue Model'!B10</f>
        <v>10689</v>
      </c>
      <c r="C5" s="27">
        <f>'Revenue Model'!C10</f>
        <v>12192</v>
      </c>
      <c r="D5" s="27">
        <f>'Revenue Model'!D10</f>
        <v>17691</v>
      </c>
      <c r="E5" s="27">
        <f>'Revenue Model'!E10</f>
        <v>38860</v>
      </c>
      <c r="F5" s="27">
        <f>'Revenue Model'!F10</f>
        <v>48873</v>
      </c>
    </row>
    <row r="6" spans="1:8" ht="15" customHeight="1" x14ac:dyDescent="0.2">
      <c r="A6" s="26" t="s">
        <v>76</v>
      </c>
      <c r="B6" s="39">
        <v>371</v>
      </c>
      <c r="C6" s="39">
        <v>513</v>
      </c>
      <c r="D6" s="39">
        <v>698</v>
      </c>
      <c r="E6" s="39">
        <v>1528</v>
      </c>
      <c r="F6" s="39">
        <v>2580</v>
      </c>
    </row>
    <row r="7" spans="1:8" ht="15" customHeight="1" x14ac:dyDescent="0.2">
      <c r="A7" s="15" t="s">
        <v>77</v>
      </c>
      <c r="B7" s="29">
        <f>B6/B5</f>
        <v>3.4708578912901113E-2</v>
      </c>
      <c r="C7" s="29">
        <f>C6/C5</f>
        <v>4.2076771653543309E-2</v>
      </c>
      <c r="D7" s="29">
        <f>D6/D5</f>
        <v>3.945509015883783E-2</v>
      </c>
      <c r="E7" s="29">
        <f>E6/E5</f>
        <v>3.9320638188368499E-2</v>
      </c>
      <c r="F7" s="29">
        <f>F6/F5</f>
        <v>5.2789883985022407E-2</v>
      </c>
    </row>
    <row r="8" spans="1:8" ht="15" customHeight="1" x14ac:dyDescent="0.2">
      <c r="A8" s="15" t="s">
        <v>78</v>
      </c>
      <c r="B8" s="23">
        <v>68</v>
      </c>
      <c r="C8" s="23">
        <v>95</v>
      </c>
      <c r="D8" s="23">
        <v>131</v>
      </c>
      <c r="E8" s="23">
        <v>281</v>
      </c>
      <c r="F8" s="23">
        <v>393</v>
      </c>
    </row>
    <row r="9" spans="1:8" ht="15" customHeight="1" x14ac:dyDescent="0.2">
      <c r="A9" s="15" t="s">
        <v>79</v>
      </c>
      <c r="B9" s="40">
        <f>B6-B8</f>
        <v>303</v>
      </c>
      <c r="C9" s="40">
        <f>C6-C8</f>
        <v>418</v>
      </c>
      <c r="D9" s="40">
        <f>D6-D8</f>
        <v>567</v>
      </c>
      <c r="E9" s="40">
        <f>E6-E8</f>
        <v>1247</v>
      </c>
      <c r="F9" s="40">
        <f>F6-F8</f>
        <v>2187</v>
      </c>
    </row>
    <row r="10" spans="1:8" ht="15" customHeight="1" x14ac:dyDescent="0.2">
      <c r="A10" s="15" t="s">
        <v>80</v>
      </c>
      <c r="B10" s="23">
        <v>34</v>
      </c>
      <c r="C10" s="23">
        <v>38</v>
      </c>
      <c r="D10" s="23">
        <v>53</v>
      </c>
      <c r="E10" s="23">
        <v>154</v>
      </c>
      <c r="F10" s="23">
        <v>137</v>
      </c>
    </row>
    <row r="11" spans="1:8" ht="15" customHeight="1" x14ac:dyDescent="0.2">
      <c r="A11" s="15" t="s">
        <v>81</v>
      </c>
      <c r="B11" s="40">
        <f>B9-B10</f>
        <v>269</v>
      </c>
      <c r="C11" s="40">
        <f>C9-C10</f>
        <v>380</v>
      </c>
      <c r="D11" s="40">
        <f>D9-D10</f>
        <v>514</v>
      </c>
      <c r="E11" s="40">
        <f>E9-E10</f>
        <v>1093</v>
      </c>
      <c r="F11" s="40">
        <f>F9-F10</f>
        <v>2050</v>
      </c>
    </row>
    <row r="12" spans="1:8" ht="15" customHeight="1" x14ac:dyDescent="0.2">
      <c r="A12" s="15" t="s">
        <v>82</v>
      </c>
      <c r="B12" s="23">
        <v>71</v>
      </c>
      <c r="C12" s="23">
        <v>99</v>
      </c>
      <c r="D12" s="23">
        <v>137</v>
      </c>
      <c r="E12" s="23">
        <v>280</v>
      </c>
      <c r="F12" s="23">
        <v>527</v>
      </c>
    </row>
    <row r="13" spans="1:8" ht="15" customHeight="1" x14ac:dyDescent="0.2">
      <c r="A13" s="26" t="s">
        <v>83</v>
      </c>
      <c r="B13" s="39">
        <v>182</v>
      </c>
      <c r="C13" s="39">
        <v>255</v>
      </c>
      <c r="D13" s="39">
        <v>368</v>
      </c>
      <c r="E13" s="39">
        <v>1233</v>
      </c>
      <c r="F13" s="39">
        <v>1644</v>
      </c>
    </row>
    <row r="14" spans="1:8" ht="15" customHeight="1" x14ac:dyDescent="0.2">
      <c r="A14" s="15" t="s">
        <v>84</v>
      </c>
      <c r="B14" s="29">
        <f>B13/B5</f>
        <v>1.7026850032743943E-2</v>
      </c>
      <c r="C14" s="29">
        <f>C13/C5</f>
        <v>2.0915354330708662E-2</v>
      </c>
      <c r="D14" s="29">
        <f>D13/D5</f>
        <v>2.0801537504946017E-2</v>
      </c>
      <c r="E14" s="29">
        <f>E13/E5</f>
        <v>3.1729284611425629E-2</v>
      </c>
      <c r="F14" s="29">
        <f>F13/F5</f>
        <v>3.3638205143944507E-2</v>
      </c>
    </row>
    <row r="15" spans="1:8" ht="15" customHeight="1" x14ac:dyDescent="0.2">
      <c r="A15" s="15" t="s">
        <v>85</v>
      </c>
      <c r="B15" s="41">
        <v>31</v>
      </c>
      <c r="C15" s="41">
        <v>42.9</v>
      </c>
      <c r="D15" s="41">
        <v>61.7</v>
      </c>
      <c r="E15" s="41">
        <v>202.6</v>
      </c>
      <c r="F15" s="41">
        <v>269.39999999999998</v>
      </c>
    </row>
    <row r="18" spans="1:9" ht="15" customHeight="1" x14ac:dyDescent="0.2">
      <c r="A18" s="6" t="s">
        <v>86</v>
      </c>
      <c r="B18" s="6"/>
      <c r="C18" s="6"/>
      <c r="D18" s="6"/>
      <c r="E18" s="6"/>
      <c r="F18" s="6"/>
      <c r="G18" s="6"/>
      <c r="H18" s="6"/>
    </row>
    <row r="19" spans="1:9" ht="15" customHeight="1" x14ac:dyDescent="0.2">
      <c r="A19" s="17" t="s">
        <v>87</v>
      </c>
      <c r="G19" s="32" t="s">
        <v>59</v>
      </c>
      <c r="H19" s="32" t="s">
        <v>60</v>
      </c>
    </row>
    <row r="20" spans="1:9" ht="32.25" customHeight="1" x14ac:dyDescent="0.2">
      <c r="A20" s="33" t="s">
        <v>88</v>
      </c>
      <c r="G20" s="34">
        <v>5.5E-2</v>
      </c>
      <c r="H20" s="34">
        <v>0.06</v>
      </c>
      <c r="I20" s="35" t="s">
        <v>89</v>
      </c>
    </row>
    <row r="21" spans="1:9" ht="21.75" customHeight="1" x14ac:dyDescent="0.2">
      <c r="A21" s="33" t="s">
        <v>90</v>
      </c>
      <c r="G21" s="34">
        <v>8.9999999999999993E-3</v>
      </c>
      <c r="H21" s="34">
        <v>0.01</v>
      </c>
      <c r="I21" s="35" t="s">
        <v>91</v>
      </c>
    </row>
    <row r="22" spans="1:9" ht="21.75" customHeight="1" x14ac:dyDescent="0.2">
      <c r="A22" s="33" t="s">
        <v>92</v>
      </c>
      <c r="G22" s="42">
        <v>150</v>
      </c>
      <c r="H22" s="42">
        <v>160</v>
      </c>
      <c r="I22" s="35" t="s">
        <v>93</v>
      </c>
    </row>
    <row r="23" spans="1:9" ht="15" customHeight="1" x14ac:dyDescent="0.2">
      <c r="A23" s="33" t="s">
        <v>94</v>
      </c>
      <c r="G23" s="34">
        <v>0.26</v>
      </c>
      <c r="H23" s="34">
        <v>0.26</v>
      </c>
      <c r="I23" s="35" t="s">
        <v>95</v>
      </c>
    </row>
    <row r="26" spans="1:9" ht="15" customHeight="1" x14ac:dyDescent="0.2">
      <c r="A26" s="7" t="s">
        <v>96</v>
      </c>
      <c r="B26" s="7"/>
      <c r="C26" s="7"/>
      <c r="D26" s="7"/>
      <c r="E26" s="7"/>
      <c r="F26" s="7"/>
      <c r="G26" s="7"/>
      <c r="H26" s="7"/>
    </row>
    <row r="27" spans="1:9" ht="15" customHeight="1" x14ac:dyDescent="0.2">
      <c r="A27" s="26" t="s">
        <v>75</v>
      </c>
      <c r="G27" s="36">
        <f>'Revenue Model'!G31</f>
        <v>58207.759999999995</v>
      </c>
      <c r="H27" s="36">
        <f>'Revenue Model'!H31</f>
        <v>68424.179999999993</v>
      </c>
    </row>
    <row r="28" spans="1:9" ht="15" customHeight="1" x14ac:dyDescent="0.2">
      <c r="A28" s="26" t="s">
        <v>76</v>
      </c>
      <c r="G28" s="36">
        <f>G27*G20</f>
        <v>3201.4267999999997</v>
      </c>
      <c r="H28" s="36">
        <f>H27*H20</f>
        <v>4105.4507999999996</v>
      </c>
    </row>
    <row r="29" spans="1:9" ht="15" customHeight="1" x14ac:dyDescent="0.2">
      <c r="A29" s="15" t="s">
        <v>77</v>
      </c>
      <c r="G29" s="43">
        <f>G28/G27</f>
        <v>5.5E-2</v>
      </c>
      <c r="H29" s="43">
        <f>H28/H27</f>
        <v>0.06</v>
      </c>
    </row>
    <row r="30" spans="1:9" ht="15" customHeight="1" x14ac:dyDescent="0.2">
      <c r="A30" s="15" t="s">
        <v>78</v>
      </c>
      <c r="G30" s="36">
        <f>G27*G21</f>
        <v>523.86983999999995</v>
      </c>
      <c r="H30" s="36">
        <f>H27*H21</f>
        <v>684.2417999999999</v>
      </c>
    </row>
    <row r="31" spans="1:9" ht="15" customHeight="1" x14ac:dyDescent="0.2">
      <c r="A31" s="26" t="s">
        <v>97</v>
      </c>
      <c r="G31" s="36">
        <f>G28-G30</f>
        <v>2677.5569599999999</v>
      </c>
      <c r="H31" s="36">
        <f>H28-H30</f>
        <v>3421.2089999999998</v>
      </c>
    </row>
    <row r="32" spans="1:9" ht="15" customHeight="1" x14ac:dyDescent="0.2">
      <c r="A32" s="15" t="s">
        <v>98</v>
      </c>
      <c r="G32" s="36">
        <f>G22</f>
        <v>150</v>
      </c>
      <c r="H32" s="36">
        <f>H22</f>
        <v>160</v>
      </c>
    </row>
    <row r="33" spans="1:8" ht="15" customHeight="1" x14ac:dyDescent="0.2">
      <c r="A33" s="26" t="s">
        <v>99</v>
      </c>
      <c r="G33" s="36">
        <f>G31-G32</f>
        <v>2527.5569599999999</v>
      </c>
      <c r="H33" s="36">
        <f>H31-H32</f>
        <v>3261.2089999999998</v>
      </c>
    </row>
    <row r="34" spans="1:8" ht="15" customHeight="1" x14ac:dyDescent="0.2">
      <c r="A34" s="15" t="s">
        <v>82</v>
      </c>
      <c r="G34" s="36">
        <f>G33*G23</f>
        <v>657.16480960000001</v>
      </c>
      <c r="H34" s="36">
        <f>H33*H23</f>
        <v>847.91434000000004</v>
      </c>
    </row>
    <row r="35" spans="1:8" ht="15" customHeight="1" x14ac:dyDescent="0.2">
      <c r="A35" s="26" t="s">
        <v>100</v>
      </c>
      <c r="G35" s="36">
        <f>G33-G34</f>
        <v>1870.3921504</v>
      </c>
      <c r="H35" s="36">
        <f>H33-H34</f>
        <v>2413.2946599999996</v>
      </c>
    </row>
    <row r="36" spans="1:8" ht="15" customHeight="1" x14ac:dyDescent="0.2">
      <c r="A36" s="15" t="s">
        <v>84</v>
      </c>
      <c r="G36" s="43">
        <f>G35/G27</f>
        <v>3.2133037766785735E-2</v>
      </c>
      <c r="H36" s="43">
        <f>H35/H27</f>
        <v>3.5269617553326908E-2</v>
      </c>
    </row>
  </sheetData>
  <mergeCells count="4">
    <mergeCell ref="A1:H1"/>
    <mergeCell ref="A2:H2"/>
    <mergeCell ref="A18:H18"/>
    <mergeCell ref="A26:H2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8"/>
  <sheetViews>
    <sheetView zoomScaleNormal="100" workbookViewId="0">
      <selection sqref="A1:C1"/>
    </sheetView>
  </sheetViews>
  <sheetFormatPr baseColWidth="10" defaultColWidth="8.6640625" defaultRowHeight="15" x14ac:dyDescent="0.2"/>
  <cols>
    <col min="1" max="1" width="42" customWidth="1"/>
    <col min="2" max="2" width="20" customWidth="1"/>
    <col min="3" max="3" width="45" customWidth="1"/>
  </cols>
  <sheetData>
    <row r="1" spans="1:3" ht="15" customHeight="1" x14ac:dyDescent="0.2">
      <c r="A1" s="9" t="s">
        <v>101</v>
      </c>
      <c r="B1" s="9"/>
      <c r="C1" s="9"/>
    </row>
    <row r="2" spans="1:3" ht="15" customHeight="1" x14ac:dyDescent="0.2">
      <c r="A2" s="44" t="s">
        <v>87</v>
      </c>
      <c r="B2" s="44" t="s">
        <v>102</v>
      </c>
      <c r="C2" s="44" t="s">
        <v>103</v>
      </c>
    </row>
    <row r="3" spans="1:3" ht="15" customHeight="1" x14ac:dyDescent="0.2">
      <c r="A3" s="10" t="s">
        <v>104</v>
      </c>
      <c r="B3" s="10"/>
      <c r="C3" s="10"/>
    </row>
    <row r="4" spans="1:3" ht="34.5" customHeight="1" x14ac:dyDescent="0.2">
      <c r="A4" s="24" t="s">
        <v>105</v>
      </c>
      <c r="B4" s="45">
        <f>'Revenue Model'!G21</f>
        <v>0.2</v>
      </c>
      <c r="C4" s="46" t="s">
        <v>106</v>
      </c>
    </row>
    <row r="5" spans="1:3" ht="34.5" customHeight="1" x14ac:dyDescent="0.2">
      <c r="A5" s="47" t="s">
        <v>107</v>
      </c>
      <c r="B5" s="48">
        <f>'Revenue Model'!H21</f>
        <v>0.18</v>
      </c>
      <c r="C5" s="49" t="s">
        <v>108</v>
      </c>
    </row>
    <row r="6" spans="1:3" ht="23.25" customHeight="1" x14ac:dyDescent="0.2">
      <c r="A6" s="24" t="s">
        <v>109</v>
      </c>
      <c r="B6" s="45">
        <f>'Revenue Model'!G22</f>
        <v>0.08</v>
      </c>
      <c r="C6" s="46" t="s">
        <v>110</v>
      </c>
    </row>
    <row r="7" spans="1:3" ht="15" customHeight="1" x14ac:dyDescent="0.2">
      <c r="A7" s="47" t="s">
        <v>111</v>
      </c>
      <c r="B7" s="48">
        <f>'Revenue Model'!H22</f>
        <v>0.1</v>
      </c>
      <c r="C7" s="49" t="s">
        <v>112</v>
      </c>
    </row>
    <row r="8" spans="1:3" ht="23.25" customHeight="1" x14ac:dyDescent="0.2">
      <c r="A8" s="24" t="s">
        <v>113</v>
      </c>
      <c r="B8" s="45">
        <f>'Revenue Model'!G23</f>
        <v>0.18</v>
      </c>
      <c r="C8" s="46" t="s">
        <v>114</v>
      </c>
    </row>
    <row r="9" spans="1:3" ht="15" customHeight="1" x14ac:dyDescent="0.2">
      <c r="A9" s="47" t="s">
        <v>115</v>
      </c>
      <c r="B9" s="48">
        <f>'Revenue Model'!H23</f>
        <v>0.2</v>
      </c>
      <c r="C9" s="49" t="s">
        <v>116</v>
      </c>
    </row>
    <row r="10" spans="1:3" ht="23.25" customHeight="1" x14ac:dyDescent="0.2">
      <c r="A10" s="24" t="s">
        <v>117</v>
      </c>
      <c r="B10" s="45">
        <f>'Revenue Model'!G24</f>
        <v>0.48</v>
      </c>
      <c r="C10" s="46" t="s">
        <v>118</v>
      </c>
    </row>
    <row r="11" spans="1:3" ht="23.25" customHeight="1" x14ac:dyDescent="0.2">
      <c r="A11" s="47" t="s">
        <v>119</v>
      </c>
      <c r="B11" s="48">
        <f>'Revenue Model'!H24</f>
        <v>0.25</v>
      </c>
      <c r="C11" s="49" t="s">
        <v>120</v>
      </c>
    </row>
    <row r="13" spans="1:3" ht="15" customHeight="1" x14ac:dyDescent="0.2">
      <c r="A13" s="10" t="s">
        <v>121</v>
      </c>
      <c r="B13" s="10"/>
      <c r="C13" s="10"/>
    </row>
    <row r="14" spans="1:3" ht="23.25" customHeight="1" x14ac:dyDescent="0.2">
      <c r="A14" s="24" t="s">
        <v>122</v>
      </c>
      <c r="B14" s="50">
        <f>'P&amp;L Summary'!G20</f>
        <v>5.5E-2</v>
      </c>
      <c r="C14" s="46" t="s">
        <v>123</v>
      </c>
    </row>
    <row r="15" spans="1:3" ht="23.25" customHeight="1" x14ac:dyDescent="0.2">
      <c r="A15" s="47" t="s">
        <v>124</v>
      </c>
      <c r="B15" s="51">
        <f>'P&amp;L Summary'!H20</f>
        <v>0.06</v>
      </c>
      <c r="C15" s="49" t="s">
        <v>125</v>
      </c>
    </row>
    <row r="16" spans="1:3" ht="23.25" customHeight="1" x14ac:dyDescent="0.2">
      <c r="A16" s="24" t="s">
        <v>126</v>
      </c>
      <c r="B16" s="50">
        <f>'P&amp;L Summary'!G21</f>
        <v>8.9999999999999993E-3</v>
      </c>
      <c r="C16" s="46" t="s">
        <v>127</v>
      </c>
    </row>
    <row r="17" spans="1:3" ht="15" customHeight="1" x14ac:dyDescent="0.2">
      <c r="A17" s="47" t="s">
        <v>128</v>
      </c>
      <c r="B17" s="48">
        <f>'P&amp;L Summary'!G23</f>
        <v>0.26</v>
      </c>
      <c r="C17" s="49" t="s">
        <v>129</v>
      </c>
    </row>
    <row r="19" spans="1:3" ht="15" customHeight="1" x14ac:dyDescent="0.2">
      <c r="A19" s="5" t="s">
        <v>130</v>
      </c>
      <c r="B19" s="5"/>
      <c r="C19" s="5"/>
    </row>
    <row r="20" spans="1:3" ht="23.25" customHeight="1" x14ac:dyDescent="0.2">
      <c r="A20" s="52" t="s">
        <v>131</v>
      </c>
      <c r="B20" s="52" t="s">
        <v>132</v>
      </c>
      <c r="C20" s="53" t="s">
        <v>133</v>
      </c>
    </row>
    <row r="21" spans="1:3" ht="15" customHeight="1" x14ac:dyDescent="0.2">
      <c r="A21" s="54" t="s">
        <v>134</v>
      </c>
      <c r="B21" s="54" t="s">
        <v>135</v>
      </c>
      <c r="C21" s="55" t="s">
        <v>136</v>
      </c>
    </row>
    <row r="22" spans="1:3" ht="23.25" customHeight="1" x14ac:dyDescent="0.2">
      <c r="A22" s="52" t="s">
        <v>137</v>
      </c>
      <c r="B22" s="52" t="s">
        <v>138</v>
      </c>
      <c r="C22" s="53" t="s">
        <v>139</v>
      </c>
    </row>
    <row r="24" spans="1:3" ht="15" customHeight="1" x14ac:dyDescent="0.2">
      <c r="A24" s="10" t="s">
        <v>140</v>
      </c>
      <c r="B24" s="10"/>
      <c r="C24" s="10"/>
    </row>
    <row r="25" spans="1:3" ht="23.25" customHeight="1" x14ac:dyDescent="0.2">
      <c r="A25" s="47" t="s">
        <v>141</v>
      </c>
      <c r="B25" s="47" t="s">
        <v>142</v>
      </c>
      <c r="C25" s="49" t="s">
        <v>143</v>
      </c>
    </row>
    <row r="26" spans="1:3" ht="15" customHeight="1" x14ac:dyDescent="0.2">
      <c r="A26" s="47" t="s">
        <v>19</v>
      </c>
      <c r="B26" s="47" t="s">
        <v>144</v>
      </c>
      <c r="C26" s="49" t="s">
        <v>20</v>
      </c>
    </row>
    <row r="27" spans="1:3" ht="23.25" customHeight="1" x14ac:dyDescent="0.2">
      <c r="A27" s="47" t="s">
        <v>145</v>
      </c>
      <c r="B27" s="47" t="s">
        <v>146</v>
      </c>
      <c r="C27" s="49" t="s">
        <v>147</v>
      </c>
    </row>
    <row r="28" spans="1:3" ht="15" customHeight="1" x14ac:dyDescent="0.2">
      <c r="A28" s="47" t="s">
        <v>148</v>
      </c>
      <c r="B28" s="47" t="s">
        <v>149</v>
      </c>
      <c r="C28" s="49" t="s">
        <v>150</v>
      </c>
    </row>
  </sheetData>
  <mergeCells count="5">
    <mergeCell ref="A1:C1"/>
    <mergeCell ref="A3:C3"/>
    <mergeCell ref="A13:C13"/>
    <mergeCell ref="A19:C19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topLeftCell="A11" zoomScaleNormal="100" workbookViewId="0">
      <selection sqref="A1:D1"/>
    </sheetView>
  </sheetViews>
  <sheetFormatPr baseColWidth="10" defaultColWidth="8.6640625" defaultRowHeight="15" x14ac:dyDescent="0.2"/>
  <cols>
    <col min="1" max="1" width="38" customWidth="1"/>
    <col min="2" max="3" width="16" customWidth="1"/>
    <col min="4" max="4" width="50" customWidth="1"/>
  </cols>
  <sheetData>
    <row r="1" spans="1:4" ht="15" customHeight="1" x14ac:dyDescent="0.2">
      <c r="A1" s="9" t="s">
        <v>151</v>
      </c>
      <c r="B1" s="9"/>
      <c r="C1" s="9"/>
      <c r="D1" s="9"/>
    </row>
    <row r="2" spans="1:4" ht="15" customHeight="1" x14ac:dyDescent="0.2">
      <c r="A2" s="8" t="s">
        <v>152</v>
      </c>
      <c r="B2" s="8"/>
      <c r="C2" s="8"/>
      <c r="D2" s="8"/>
    </row>
    <row r="4" spans="1:4" ht="15" customHeight="1" x14ac:dyDescent="0.2">
      <c r="A4" s="10" t="s">
        <v>153</v>
      </c>
      <c r="B4" s="10"/>
      <c r="C4" s="10"/>
      <c r="D4" s="10"/>
    </row>
    <row r="5" spans="1:4" ht="21.75" customHeight="1" x14ac:dyDescent="0.2">
      <c r="A5" s="15" t="s">
        <v>154</v>
      </c>
      <c r="B5" s="34">
        <v>6.7000000000000004E-2</v>
      </c>
      <c r="D5" s="35" t="s">
        <v>155</v>
      </c>
    </row>
    <row r="6" spans="1:4" ht="32.25" customHeight="1" x14ac:dyDescent="0.2">
      <c r="A6" s="15" t="s">
        <v>156</v>
      </c>
      <c r="B6" s="56">
        <v>0.86</v>
      </c>
      <c r="D6" s="35" t="s">
        <v>157</v>
      </c>
    </row>
    <row r="7" spans="1:4" ht="21.75" customHeight="1" x14ac:dyDescent="0.2">
      <c r="A7" s="15" t="s">
        <v>158</v>
      </c>
      <c r="B7" s="34">
        <v>7.4999999999999997E-2</v>
      </c>
      <c r="D7" s="35" t="s">
        <v>159</v>
      </c>
    </row>
    <row r="8" spans="1:4" ht="21.75" customHeight="1" x14ac:dyDescent="0.2">
      <c r="A8" s="14" t="s">
        <v>160</v>
      </c>
      <c r="B8" s="57">
        <f>B5+B6*B7</f>
        <v>0.13150000000000001</v>
      </c>
      <c r="D8" s="35" t="s">
        <v>161</v>
      </c>
    </row>
    <row r="10" spans="1:4" ht="15" customHeight="1" x14ac:dyDescent="0.2">
      <c r="A10" s="10" t="s">
        <v>162</v>
      </c>
      <c r="B10" s="10"/>
      <c r="C10" s="10"/>
      <c r="D10" s="10"/>
    </row>
    <row r="11" spans="1:4" ht="21.75" customHeight="1" x14ac:dyDescent="0.2">
      <c r="A11" s="15" t="s">
        <v>163</v>
      </c>
      <c r="B11" s="34">
        <v>0.08</v>
      </c>
      <c r="D11" s="35" t="s">
        <v>164</v>
      </c>
    </row>
    <row r="12" spans="1:4" ht="21.75" customHeight="1" x14ac:dyDescent="0.2">
      <c r="A12" s="15" t="s">
        <v>94</v>
      </c>
      <c r="B12" s="34">
        <v>0.26</v>
      </c>
      <c r="D12" s="35" t="s">
        <v>165</v>
      </c>
    </row>
    <row r="13" spans="1:4" ht="15" customHeight="1" x14ac:dyDescent="0.2">
      <c r="A13" s="14" t="s">
        <v>166</v>
      </c>
      <c r="B13" s="57">
        <f>B11*(1-B12)</f>
        <v>5.9200000000000003E-2</v>
      </c>
    </row>
    <row r="15" spans="1:4" ht="15" customHeight="1" x14ac:dyDescent="0.2">
      <c r="A15" s="10" t="s">
        <v>167</v>
      </c>
      <c r="B15" s="10"/>
      <c r="C15" s="10"/>
      <c r="D15" s="10"/>
    </row>
    <row r="16" spans="1:4" ht="21.75" customHeight="1" x14ac:dyDescent="0.2">
      <c r="A16" s="15" t="s">
        <v>168</v>
      </c>
      <c r="B16" s="42">
        <v>68549</v>
      </c>
      <c r="D16" s="35" t="s">
        <v>169</v>
      </c>
    </row>
    <row r="17" spans="1:4" ht="21.75" customHeight="1" x14ac:dyDescent="0.2">
      <c r="A17" s="15" t="s">
        <v>170</v>
      </c>
      <c r="B17" s="42">
        <v>467</v>
      </c>
      <c r="D17" s="35" t="s">
        <v>171</v>
      </c>
    </row>
    <row r="18" spans="1:4" ht="21.75" customHeight="1" x14ac:dyDescent="0.2">
      <c r="A18" s="15" t="s">
        <v>172</v>
      </c>
      <c r="B18" s="42">
        <v>767</v>
      </c>
      <c r="D18" s="35" t="s">
        <v>173</v>
      </c>
    </row>
    <row r="19" spans="1:4" ht="21.75" customHeight="1" x14ac:dyDescent="0.2">
      <c r="A19" s="15" t="s">
        <v>174</v>
      </c>
      <c r="B19" s="40">
        <f>B17-B18</f>
        <v>-300</v>
      </c>
      <c r="D19" s="35" t="s">
        <v>175</v>
      </c>
    </row>
    <row r="20" spans="1:4" ht="15" customHeight="1" x14ac:dyDescent="0.2">
      <c r="A20" s="15" t="s">
        <v>176</v>
      </c>
      <c r="B20" s="40">
        <f>B16+B17</f>
        <v>69016</v>
      </c>
    </row>
    <row r="21" spans="1:4" ht="15" customHeight="1" x14ac:dyDescent="0.2">
      <c r="A21" s="15" t="s">
        <v>177</v>
      </c>
      <c r="B21" s="29">
        <f>B16/B20</f>
        <v>0.99323345311232181</v>
      </c>
      <c r="D21" s="35" t="s">
        <v>178</v>
      </c>
    </row>
    <row r="22" spans="1:4" ht="15" customHeight="1" x14ac:dyDescent="0.2">
      <c r="A22" s="15" t="s">
        <v>179</v>
      </c>
      <c r="B22" s="29">
        <f>B17/B20</f>
        <v>6.7665468876782191E-3</v>
      </c>
      <c r="D22" s="35" t="s">
        <v>180</v>
      </c>
    </row>
    <row r="24" spans="1:4" ht="15" customHeight="1" x14ac:dyDescent="0.2">
      <c r="A24" s="11" t="s">
        <v>181</v>
      </c>
      <c r="B24" s="11"/>
      <c r="C24" s="11"/>
      <c r="D24" s="11"/>
    </row>
    <row r="25" spans="1:4" ht="19.5" customHeight="1" x14ac:dyDescent="0.2">
      <c r="A25" s="58" t="s">
        <v>182</v>
      </c>
      <c r="B25" s="59">
        <f>B8*B21+B13*B22</f>
        <v>0.13101077866002087</v>
      </c>
      <c r="D25" s="60" t="s">
        <v>183</v>
      </c>
    </row>
    <row r="27" spans="1:4" ht="15" customHeight="1" x14ac:dyDescent="0.2">
      <c r="A27" s="10" t="s">
        <v>184</v>
      </c>
      <c r="B27" s="10"/>
      <c r="C27" s="10"/>
      <c r="D27" s="10"/>
    </row>
    <row r="28" spans="1:4" ht="21.75" customHeight="1" x14ac:dyDescent="0.2">
      <c r="A28" s="15" t="s">
        <v>185</v>
      </c>
      <c r="B28" s="56">
        <v>6.1</v>
      </c>
      <c r="D28" s="35" t="s">
        <v>186</v>
      </c>
    </row>
    <row r="29" spans="1:4" ht="21.75" customHeight="1" x14ac:dyDescent="0.2">
      <c r="A29" s="15" t="s">
        <v>187</v>
      </c>
      <c r="B29" s="42">
        <v>11848</v>
      </c>
      <c r="D29" s="35" t="s">
        <v>188</v>
      </c>
    </row>
    <row r="30" spans="1:4" ht="21.75" customHeight="1" x14ac:dyDescent="0.2">
      <c r="A30" s="15" t="s">
        <v>189</v>
      </c>
      <c r="B30" s="40">
        <f>B28*B29</f>
        <v>72272.800000000003</v>
      </c>
      <c r="D30" s="35" t="s">
        <v>190</v>
      </c>
    </row>
  </sheetData>
  <mergeCells count="7">
    <mergeCell ref="A24:D24"/>
    <mergeCell ref="A27:D27"/>
    <mergeCell ref="A1:D1"/>
    <mergeCell ref="A2:D2"/>
    <mergeCell ref="A4:D4"/>
    <mergeCell ref="A10:D10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6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38" customWidth="1"/>
    <col min="2" max="7" width="14" customWidth="1"/>
    <col min="8" max="8" width="50" customWidth="1"/>
  </cols>
  <sheetData>
    <row r="1" spans="1:8" ht="15" customHeight="1" x14ac:dyDescent="0.2">
      <c r="A1" s="9" t="s">
        <v>191</v>
      </c>
      <c r="B1" s="9"/>
      <c r="C1" s="9"/>
      <c r="D1" s="9"/>
      <c r="E1" s="9"/>
      <c r="F1" s="9"/>
      <c r="G1" s="9"/>
      <c r="H1" s="9"/>
    </row>
    <row r="2" spans="1:8" ht="15" customHeight="1" x14ac:dyDescent="0.2">
      <c r="A2" s="8" t="s">
        <v>192</v>
      </c>
      <c r="B2" s="8"/>
      <c r="C2" s="8"/>
      <c r="D2" s="8"/>
      <c r="E2" s="8"/>
      <c r="F2" s="8"/>
      <c r="G2" s="8"/>
      <c r="H2" s="8"/>
    </row>
    <row r="4" spans="1:8" ht="30" customHeight="1" x14ac:dyDescent="0.2">
      <c r="A4" s="16" t="s">
        <v>193</v>
      </c>
      <c r="B4" s="20" t="s">
        <v>194</v>
      </c>
      <c r="C4" s="21" t="s">
        <v>59</v>
      </c>
      <c r="D4" s="21" t="s">
        <v>60</v>
      </c>
      <c r="E4" s="21" t="s">
        <v>195</v>
      </c>
      <c r="F4" s="21" t="s">
        <v>196</v>
      </c>
      <c r="G4" s="21" t="s">
        <v>197</v>
      </c>
    </row>
    <row r="5" spans="1:8" ht="15" customHeight="1" x14ac:dyDescent="0.2">
      <c r="A5" s="4" t="s">
        <v>198</v>
      </c>
      <c r="B5" s="4"/>
      <c r="C5" s="4"/>
      <c r="D5" s="4"/>
      <c r="E5" s="4"/>
      <c r="F5" s="4"/>
      <c r="G5" s="4"/>
      <c r="H5" s="4"/>
    </row>
    <row r="6" spans="1:8" ht="21.75" customHeight="1" x14ac:dyDescent="0.2">
      <c r="A6" s="33" t="s">
        <v>199</v>
      </c>
      <c r="C6" s="61">
        <f>'Revenue Model'!G32</f>
        <v>0.19100034784032072</v>
      </c>
      <c r="D6" s="61">
        <f>'Revenue Model'!H32</f>
        <v>0.17551646034824223</v>
      </c>
      <c r="E6" s="34">
        <v>0.15</v>
      </c>
      <c r="F6" s="34">
        <v>0.13</v>
      </c>
      <c r="G6" s="34">
        <v>0.1</v>
      </c>
      <c r="H6" s="35" t="s">
        <v>200</v>
      </c>
    </row>
    <row r="7" spans="1:8" ht="21.75" customHeight="1" x14ac:dyDescent="0.2">
      <c r="A7" s="33" t="s">
        <v>201</v>
      </c>
      <c r="B7" s="62">
        <v>5.2999999999999999E-2</v>
      </c>
      <c r="C7" s="34">
        <v>5.5E-2</v>
      </c>
      <c r="D7" s="34">
        <v>0.06</v>
      </c>
      <c r="E7" s="34">
        <v>6.5000000000000002E-2</v>
      </c>
      <c r="F7" s="34">
        <v>7.0000000000000007E-2</v>
      </c>
      <c r="G7" s="34">
        <v>7.4999999999999997E-2</v>
      </c>
      <c r="H7" s="35" t="s">
        <v>202</v>
      </c>
    </row>
    <row r="8" spans="1:8" ht="21.75" customHeight="1" x14ac:dyDescent="0.2">
      <c r="A8" s="33" t="s">
        <v>90</v>
      </c>
      <c r="B8" s="62">
        <v>8.0000000000000002E-3</v>
      </c>
      <c r="C8" s="34">
        <v>8.9999999999999993E-3</v>
      </c>
      <c r="D8" s="34">
        <v>0.01</v>
      </c>
      <c r="E8" s="34">
        <v>0.01</v>
      </c>
      <c r="F8" s="34">
        <v>0.01</v>
      </c>
      <c r="G8" s="34">
        <v>0.01</v>
      </c>
      <c r="H8" s="35" t="s">
        <v>203</v>
      </c>
    </row>
    <row r="9" spans="1:8" ht="21.75" customHeight="1" x14ac:dyDescent="0.2">
      <c r="A9" s="33" t="s">
        <v>204</v>
      </c>
      <c r="B9" s="62">
        <v>2.5000000000000001E-2</v>
      </c>
      <c r="C9" s="34">
        <v>2.5000000000000001E-2</v>
      </c>
      <c r="D9" s="34">
        <v>2.3E-2</v>
      </c>
      <c r="E9" s="34">
        <v>0.02</v>
      </c>
      <c r="F9" s="34">
        <v>1.7999999999999999E-2</v>
      </c>
      <c r="G9" s="34">
        <v>1.4999999999999999E-2</v>
      </c>
      <c r="H9" s="35" t="s">
        <v>205</v>
      </c>
    </row>
    <row r="10" spans="1:8" ht="21.75" customHeight="1" x14ac:dyDescent="0.2">
      <c r="A10" s="33" t="s">
        <v>206</v>
      </c>
      <c r="B10" s="63">
        <v>-7</v>
      </c>
      <c r="C10" s="64">
        <v>-7</v>
      </c>
      <c r="D10" s="64">
        <v>-7</v>
      </c>
      <c r="E10" s="64">
        <v>-7</v>
      </c>
      <c r="F10" s="64">
        <v>-7</v>
      </c>
      <c r="G10" s="64">
        <v>-7</v>
      </c>
      <c r="H10" s="35" t="s">
        <v>207</v>
      </c>
    </row>
    <row r="12" spans="1:8" ht="15" customHeight="1" x14ac:dyDescent="0.2">
      <c r="A12" s="10" t="s">
        <v>208</v>
      </c>
      <c r="B12" s="10"/>
      <c r="C12" s="10"/>
      <c r="D12" s="10"/>
      <c r="E12" s="10"/>
      <c r="F12" s="10"/>
      <c r="G12" s="10"/>
      <c r="H12" s="10"/>
    </row>
    <row r="13" spans="1:8" ht="15" customHeight="1" x14ac:dyDescent="0.2">
      <c r="A13" s="14" t="s">
        <v>75</v>
      </c>
      <c r="B13" s="65">
        <f>'P&amp;L Summary'!F5</f>
        <v>48873</v>
      </c>
      <c r="C13" s="66">
        <f>B13*(1+C6)</f>
        <v>58207.76</v>
      </c>
      <c r="D13" s="66">
        <f>C13*(1+D6)</f>
        <v>68424.180000000008</v>
      </c>
      <c r="E13" s="66">
        <f>D13*(1+E6)</f>
        <v>78687.807000000001</v>
      </c>
      <c r="F13" s="66">
        <f>E13*(1+F6)</f>
        <v>88917.221909999993</v>
      </c>
      <c r="G13" s="66">
        <f>F13*(1+G6)</f>
        <v>97808.944101000001</v>
      </c>
    </row>
    <row r="14" spans="1:8" ht="15" customHeight="1" x14ac:dyDescent="0.2">
      <c r="A14" s="15" t="s">
        <v>209</v>
      </c>
      <c r="B14" s="40">
        <f t="shared" ref="B14:G14" si="0">B13*B7</f>
        <v>2590.2689999999998</v>
      </c>
      <c r="C14" s="36">
        <f t="shared" si="0"/>
        <v>3201.4268000000002</v>
      </c>
      <c r="D14" s="36">
        <f t="shared" si="0"/>
        <v>4105.4508000000005</v>
      </c>
      <c r="E14" s="36">
        <f t="shared" si="0"/>
        <v>5114.7074550000007</v>
      </c>
      <c r="F14" s="36">
        <f t="shared" si="0"/>
        <v>6224.2055337000002</v>
      </c>
      <c r="G14" s="36">
        <f t="shared" si="0"/>
        <v>7335.6708075750003</v>
      </c>
    </row>
    <row r="15" spans="1:8" ht="15" customHeight="1" x14ac:dyDescent="0.2">
      <c r="A15" s="15" t="s">
        <v>210</v>
      </c>
      <c r="B15" s="40">
        <f t="shared" ref="B15:G15" si="1">B13*B8</f>
        <v>390.98399999999998</v>
      </c>
      <c r="C15" s="36">
        <f t="shared" si="1"/>
        <v>523.86983999999995</v>
      </c>
      <c r="D15" s="36">
        <f t="shared" si="1"/>
        <v>684.24180000000013</v>
      </c>
      <c r="E15" s="36">
        <f t="shared" si="1"/>
        <v>786.87806999999998</v>
      </c>
      <c r="F15" s="36">
        <f t="shared" si="1"/>
        <v>889.17221909999989</v>
      </c>
      <c r="G15" s="36">
        <f t="shared" si="1"/>
        <v>978.08944100999997</v>
      </c>
    </row>
    <row r="16" spans="1:8" ht="15" customHeight="1" x14ac:dyDescent="0.2">
      <c r="A16" s="14" t="s">
        <v>211</v>
      </c>
      <c r="B16" s="27">
        <f t="shared" ref="B16:G16" si="2">B14-B15</f>
        <v>2199.2849999999999</v>
      </c>
      <c r="C16" s="27">
        <f t="shared" si="2"/>
        <v>2677.5569600000003</v>
      </c>
      <c r="D16" s="27">
        <f t="shared" si="2"/>
        <v>3421.2090000000003</v>
      </c>
      <c r="E16" s="27">
        <f t="shared" si="2"/>
        <v>4327.8293850000009</v>
      </c>
      <c r="F16" s="27">
        <f t="shared" si="2"/>
        <v>5335.0333146000003</v>
      </c>
      <c r="G16" s="27">
        <f t="shared" si="2"/>
        <v>6357.5813665650003</v>
      </c>
    </row>
    <row r="17" spans="1:8" ht="15" customHeight="1" x14ac:dyDescent="0.2">
      <c r="A17" s="15" t="s">
        <v>212</v>
      </c>
      <c r="B17" s="40">
        <f>B16*WACC!B12</f>
        <v>571.81409999999994</v>
      </c>
      <c r="C17" s="36">
        <f>C16*WACC!B12</f>
        <v>696.16480960000013</v>
      </c>
      <c r="D17" s="36">
        <f>D16*WACC!B12</f>
        <v>889.51434000000006</v>
      </c>
      <c r="E17" s="36">
        <f>E16*WACC!B12</f>
        <v>1125.2356401000002</v>
      </c>
      <c r="F17" s="36">
        <f>F16*WACC!B12</f>
        <v>1387.1086617960002</v>
      </c>
      <c r="G17" s="36">
        <f>G16*WACC!B12</f>
        <v>1652.9711553069001</v>
      </c>
    </row>
    <row r="18" spans="1:8" ht="15" customHeight="1" x14ac:dyDescent="0.2">
      <c r="A18" s="14" t="s">
        <v>213</v>
      </c>
      <c r="B18" s="67">
        <f t="shared" ref="B18:G18" si="3">B16-B17</f>
        <v>1627.4708999999998</v>
      </c>
      <c r="C18" s="67">
        <f t="shared" si="3"/>
        <v>1981.3921504000002</v>
      </c>
      <c r="D18" s="67">
        <f t="shared" si="3"/>
        <v>2531.6946600000001</v>
      </c>
      <c r="E18" s="67">
        <f t="shared" si="3"/>
        <v>3202.5937449000007</v>
      </c>
      <c r="F18" s="67">
        <f t="shared" si="3"/>
        <v>3947.9246528040003</v>
      </c>
      <c r="G18" s="67">
        <f t="shared" si="3"/>
        <v>4704.6102112581002</v>
      </c>
    </row>
    <row r="19" spans="1:8" ht="15" customHeight="1" x14ac:dyDescent="0.2">
      <c r="A19" s="15" t="s">
        <v>214</v>
      </c>
      <c r="B19" s="40">
        <f t="shared" ref="B19:G19" si="4">B15</f>
        <v>390.98399999999998</v>
      </c>
      <c r="C19" s="36">
        <f t="shared" si="4"/>
        <v>523.86983999999995</v>
      </c>
      <c r="D19" s="36">
        <f t="shared" si="4"/>
        <v>684.24180000000013</v>
      </c>
      <c r="E19" s="36">
        <f t="shared" si="4"/>
        <v>786.87806999999998</v>
      </c>
      <c r="F19" s="36">
        <f t="shared" si="4"/>
        <v>889.17221909999989</v>
      </c>
      <c r="G19" s="36">
        <f t="shared" si="4"/>
        <v>978.08944100999997</v>
      </c>
    </row>
    <row r="20" spans="1:8" ht="15" customHeight="1" x14ac:dyDescent="0.2">
      <c r="A20" s="15" t="s">
        <v>215</v>
      </c>
      <c r="B20" s="40">
        <f t="shared" ref="B20:G20" si="5">B13*B9</f>
        <v>1221.825</v>
      </c>
      <c r="C20" s="36">
        <f t="shared" si="5"/>
        <v>1455.1940000000002</v>
      </c>
      <c r="D20" s="36">
        <f t="shared" si="5"/>
        <v>1573.7561400000002</v>
      </c>
      <c r="E20" s="36">
        <f t="shared" si="5"/>
        <v>1573.75614</v>
      </c>
      <c r="F20" s="36">
        <f t="shared" si="5"/>
        <v>1600.5099943799999</v>
      </c>
      <c r="G20" s="36">
        <f t="shared" si="5"/>
        <v>1467.134161515</v>
      </c>
    </row>
    <row r="21" spans="1:8" ht="15" customHeight="1" x14ac:dyDescent="0.2">
      <c r="A21" s="15" t="s">
        <v>216</v>
      </c>
      <c r="B21" s="40">
        <f>0</f>
        <v>0</v>
      </c>
      <c r="C21" s="36">
        <f>(C13-B13)*C10/365</f>
        <v>-179.02279452054799</v>
      </c>
      <c r="D21" s="36">
        <f>(D13-C13)*D10/365</f>
        <v>-195.93134246575352</v>
      </c>
      <c r="E21" s="36">
        <f>(E13-D13)*E10/365</f>
        <v>-196.83668219178068</v>
      </c>
      <c r="F21" s="36">
        <f>(F13-E13)*F10/365</f>
        <v>-196.18055991780807</v>
      </c>
      <c r="G21" s="36">
        <f>(G13-F13)*G10/365</f>
        <v>-170.52617900547961</v>
      </c>
    </row>
    <row r="22" spans="1:8" ht="15" customHeight="1" x14ac:dyDescent="0.2">
      <c r="A22" s="68" t="s">
        <v>217</v>
      </c>
      <c r="B22" s="69">
        <f t="shared" ref="B22:G22" si="6">B18+B19-B20-B21</f>
        <v>796.62989999999968</v>
      </c>
      <c r="C22" s="69">
        <f t="shared" si="6"/>
        <v>1229.090784920548</v>
      </c>
      <c r="D22" s="69">
        <f t="shared" si="6"/>
        <v>1838.1116624657536</v>
      </c>
      <c r="E22" s="69">
        <f t="shared" si="6"/>
        <v>2612.5523570917817</v>
      </c>
      <c r="F22" s="69">
        <f t="shared" si="6"/>
        <v>3432.7674374418084</v>
      </c>
      <c r="G22" s="69">
        <f t="shared" si="6"/>
        <v>4386.0916697585799</v>
      </c>
    </row>
    <row r="24" spans="1:8" ht="15" customHeight="1" x14ac:dyDescent="0.2">
      <c r="A24" s="10" t="s">
        <v>218</v>
      </c>
      <c r="B24" s="10"/>
      <c r="C24" s="10"/>
      <c r="D24" s="10"/>
      <c r="E24" s="10"/>
      <c r="F24" s="10"/>
      <c r="G24" s="10"/>
      <c r="H24" s="10"/>
    </row>
    <row r="25" spans="1:8" ht="15" customHeight="1" x14ac:dyDescent="0.2">
      <c r="A25" s="15" t="s">
        <v>219</v>
      </c>
      <c r="B25" s="70">
        <v>0</v>
      </c>
      <c r="C25" s="71">
        <v>0.5</v>
      </c>
      <c r="D25" s="71">
        <v>1.5</v>
      </c>
      <c r="E25" s="71">
        <v>2.5</v>
      </c>
      <c r="F25" s="71">
        <v>3.5</v>
      </c>
      <c r="G25" s="71">
        <v>4.5</v>
      </c>
    </row>
    <row r="26" spans="1:8" ht="15" customHeight="1" x14ac:dyDescent="0.2">
      <c r="A26" s="15" t="s">
        <v>220</v>
      </c>
      <c r="B26" s="72">
        <f>1</f>
        <v>1</v>
      </c>
      <c r="C26" s="73">
        <f>1/(1+WACC!B25)^C25</f>
        <v>0.9403004156626511</v>
      </c>
      <c r="D26" s="73">
        <f>1/(1+WACC!B25)^D25</f>
        <v>0.83138059636945616</v>
      </c>
      <c r="E26" s="73">
        <f>1/(1+WACC!B25)^E25</f>
        <v>0.73507751831900736</v>
      </c>
      <c r="F26" s="73">
        <f>1/(1+WACC!B25)^F25</f>
        <v>0.6499297196706646</v>
      </c>
      <c r="G26" s="73">
        <f>1/(1+WACC!B25)^G25</f>
        <v>0.57464502720361077</v>
      </c>
    </row>
    <row r="27" spans="1:8" ht="15" customHeight="1" x14ac:dyDescent="0.2">
      <c r="A27" s="14" t="s">
        <v>221</v>
      </c>
      <c r="B27" s="40">
        <f>0</f>
        <v>0</v>
      </c>
      <c r="C27" s="66">
        <f>C22*C26</f>
        <v>1155.7145759479254</v>
      </c>
      <c r="D27" s="66">
        <f>D22*D26</f>
        <v>1528.1703701344306</v>
      </c>
      <c r="E27" s="66">
        <f>E22*E26</f>
        <v>1920.4285031295001</v>
      </c>
      <c r="F27" s="66">
        <f>F22*F26</f>
        <v>2231.0575783111403</v>
      </c>
      <c r="G27" s="66">
        <f>G22*G26</f>
        <v>2520.4457668859495</v>
      </c>
    </row>
    <row r="29" spans="1:8" ht="15" customHeight="1" x14ac:dyDescent="0.2">
      <c r="A29" s="10" t="s">
        <v>222</v>
      </c>
      <c r="B29" s="10"/>
      <c r="C29" s="10"/>
      <c r="D29" s="10"/>
      <c r="E29" s="10"/>
      <c r="F29" s="10"/>
      <c r="G29" s="10"/>
      <c r="H29" s="10"/>
    </row>
    <row r="30" spans="1:8" ht="21.75" customHeight="1" x14ac:dyDescent="0.2">
      <c r="A30" s="15" t="s">
        <v>223</v>
      </c>
      <c r="B30" s="34">
        <v>6.5000000000000002E-2</v>
      </c>
      <c r="H30" s="35" t="s">
        <v>224</v>
      </c>
    </row>
    <row r="31" spans="1:8" ht="15" customHeight="1" x14ac:dyDescent="0.2">
      <c r="A31" s="15" t="s">
        <v>225</v>
      </c>
      <c r="B31" s="40">
        <f>G22</f>
        <v>4386.0916697585799</v>
      </c>
      <c r="H31" s="35" t="s">
        <v>226</v>
      </c>
    </row>
    <row r="32" spans="1:8" ht="21.75" customHeight="1" x14ac:dyDescent="0.2">
      <c r="A32" s="14" t="s">
        <v>227</v>
      </c>
      <c r="B32" s="67">
        <f>G22*(1+B30)/(WACC!B25-B30)</f>
        <v>70764.013440156123</v>
      </c>
      <c r="H32" s="35" t="s">
        <v>228</v>
      </c>
    </row>
    <row r="33" spans="1:8" ht="15" customHeight="1" x14ac:dyDescent="0.2">
      <c r="A33" s="14" t="s">
        <v>229</v>
      </c>
      <c r="B33" s="67">
        <f>B32*G26</f>
        <v>40664.188428355192</v>
      </c>
      <c r="H33" s="35" t="s">
        <v>230</v>
      </c>
    </row>
    <row r="35" spans="1:8" ht="15" customHeight="1" x14ac:dyDescent="0.2">
      <c r="A35" s="11" t="s">
        <v>231</v>
      </c>
      <c r="B35" s="11"/>
      <c r="C35" s="11"/>
      <c r="D35" s="11"/>
      <c r="E35" s="11"/>
      <c r="F35" s="11"/>
      <c r="G35" s="11"/>
      <c r="H35" s="11"/>
    </row>
    <row r="36" spans="1:8" ht="15" customHeight="1" x14ac:dyDescent="0.2">
      <c r="A36" s="15" t="s">
        <v>232</v>
      </c>
      <c r="B36" s="74">
        <f>SUM(C27:G27)</f>
        <v>9355.8167944089473</v>
      </c>
      <c r="H36" s="35" t="s">
        <v>233</v>
      </c>
    </row>
    <row r="37" spans="1:8" ht="15" customHeight="1" x14ac:dyDescent="0.2">
      <c r="A37" s="15" t="s">
        <v>234</v>
      </c>
      <c r="B37" s="74">
        <f>B33</f>
        <v>40664.188428355192</v>
      </c>
      <c r="H37" s="35" t="s">
        <v>235</v>
      </c>
    </row>
    <row r="38" spans="1:8" ht="15" customHeight="1" x14ac:dyDescent="0.2">
      <c r="A38" s="26" t="s">
        <v>236</v>
      </c>
      <c r="B38" s="75">
        <f>B36+B37</f>
        <v>50020.005222764143</v>
      </c>
      <c r="H38" s="35" t="s">
        <v>237</v>
      </c>
    </row>
    <row r="39" spans="1:8" ht="21.75" customHeight="1" x14ac:dyDescent="0.2">
      <c r="A39" s="15" t="s">
        <v>238</v>
      </c>
      <c r="B39" s="61">
        <f>B37/B38</f>
        <v>0.81295850024919403</v>
      </c>
      <c r="H39" s="35" t="s">
        <v>239</v>
      </c>
    </row>
    <row r="40" spans="1:8" ht="15" customHeight="1" x14ac:dyDescent="0.2">
      <c r="A40" s="15" t="s">
        <v>240</v>
      </c>
      <c r="B40" s="74">
        <f>WACC!B18</f>
        <v>767</v>
      </c>
      <c r="H40" s="35" t="s">
        <v>241</v>
      </c>
    </row>
    <row r="41" spans="1:8" ht="15" customHeight="1" x14ac:dyDescent="0.2">
      <c r="A41" s="15" t="s">
        <v>242</v>
      </c>
      <c r="B41" s="74">
        <f>WACC!B17</f>
        <v>467</v>
      </c>
      <c r="H41" s="35" t="s">
        <v>243</v>
      </c>
    </row>
    <row r="42" spans="1:8" ht="15" customHeight="1" x14ac:dyDescent="0.2">
      <c r="A42" s="15" t="s">
        <v>244</v>
      </c>
      <c r="B42" s="74">
        <f>B38+B40-B41</f>
        <v>50320.005222764143</v>
      </c>
      <c r="H42" s="35" t="s">
        <v>245</v>
      </c>
    </row>
    <row r="43" spans="1:8" ht="15" customHeight="1" x14ac:dyDescent="0.2">
      <c r="A43" s="15" t="s">
        <v>246</v>
      </c>
      <c r="B43" s="76">
        <f>WACC!B28</f>
        <v>6.1</v>
      </c>
      <c r="H43" s="35" t="s">
        <v>247</v>
      </c>
    </row>
    <row r="44" spans="1:8" ht="21.75" customHeight="1" x14ac:dyDescent="0.2">
      <c r="A44" s="26" t="s">
        <v>248</v>
      </c>
      <c r="B44" s="77">
        <f>B42/B43</f>
        <v>8249.1811840596965</v>
      </c>
      <c r="H44" s="35" t="s">
        <v>249</v>
      </c>
    </row>
    <row r="45" spans="1:8" ht="15" customHeight="1" x14ac:dyDescent="0.2">
      <c r="A45" s="15" t="s">
        <v>250</v>
      </c>
      <c r="B45" s="74">
        <f>WACC!B29</f>
        <v>11848</v>
      </c>
      <c r="H45" s="35" t="s">
        <v>251</v>
      </c>
    </row>
    <row r="46" spans="1:8" ht="21.75" customHeight="1" x14ac:dyDescent="0.2">
      <c r="A46" s="26" t="s">
        <v>252</v>
      </c>
      <c r="B46" s="78">
        <f>(B44-B45)/B45</f>
        <v>-0.30374905603817554</v>
      </c>
      <c r="H46" s="35" t="s">
        <v>253</v>
      </c>
    </row>
  </sheetData>
  <mergeCells count="7">
    <mergeCell ref="A29:H29"/>
    <mergeCell ref="A35:H35"/>
    <mergeCell ref="A1:H1"/>
    <mergeCell ref="A2:H2"/>
    <mergeCell ref="A5:H5"/>
    <mergeCell ref="A12:H12"/>
    <mergeCell ref="A24:H2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topLeftCell="F1" zoomScaleNormal="100" workbookViewId="0">
      <selection sqref="A1:G1"/>
    </sheetView>
  </sheetViews>
  <sheetFormatPr baseColWidth="10" defaultColWidth="8.6640625" defaultRowHeight="15" x14ac:dyDescent="0.2"/>
  <cols>
    <col min="1" max="1" width="30" customWidth="1"/>
    <col min="2" max="7" width="14" customWidth="1"/>
  </cols>
  <sheetData>
    <row r="1" spans="1:7" ht="15" customHeight="1" x14ac:dyDescent="0.2">
      <c r="A1" s="9" t="s">
        <v>254</v>
      </c>
      <c r="B1" s="9"/>
      <c r="C1" s="9"/>
      <c r="D1" s="9"/>
      <c r="E1" s="9"/>
      <c r="F1" s="9"/>
      <c r="G1" s="9"/>
    </row>
    <row r="2" spans="1:7" ht="15" customHeight="1" x14ac:dyDescent="0.2">
      <c r="A2" s="8" t="s">
        <v>255</v>
      </c>
      <c r="B2" s="8"/>
      <c r="C2" s="8"/>
      <c r="D2" s="8"/>
      <c r="E2" s="8"/>
      <c r="F2" s="8"/>
      <c r="G2" s="8"/>
    </row>
    <row r="4" spans="1:7" ht="15" customHeight="1" x14ac:dyDescent="0.2">
      <c r="A4" s="10" t="s">
        <v>256</v>
      </c>
      <c r="B4" s="10"/>
      <c r="C4" s="10"/>
      <c r="D4" s="10"/>
      <c r="E4" s="10"/>
      <c r="F4" s="10"/>
      <c r="G4" s="10"/>
    </row>
    <row r="5" spans="1:7" ht="15" customHeight="1" x14ac:dyDescent="0.2">
      <c r="A5" s="14" t="s">
        <v>257</v>
      </c>
      <c r="B5" s="79">
        <v>5.5E-2</v>
      </c>
      <c r="C5" s="79">
        <v>0.06</v>
      </c>
      <c r="D5" s="79">
        <v>6.5000000000000002E-2</v>
      </c>
      <c r="E5" s="79">
        <v>7.0000000000000007E-2</v>
      </c>
      <c r="F5" s="79">
        <v>7.4999999999999997E-2</v>
      </c>
    </row>
    <row r="6" spans="1:7" ht="15" customHeight="1" x14ac:dyDescent="0.2">
      <c r="A6" s="80">
        <v>0.115</v>
      </c>
      <c r="B6" s="81">
        <f>(('DCF Valuation'!C22/(1+A6)^0.5+'DCF Valuation'!D22/(1+A6)^1.5+'DCF Valuation'!E22/(1+A6)^2.5+'DCF Valuation'!F22/(1+A6)^3.5+'DCF Valuation'!G22/(1+A6)^4.5)+('DCF Valuation'!G22*(1+B5)/(A6-B5))/(1+A6)^4.5+WACC!B18-WACC!B17)/WACC!B28</f>
        <v>9393.826114380503</v>
      </c>
      <c r="C6" s="81">
        <f>(('DCF Valuation'!C22/(1+A6)^0.5+'DCF Valuation'!D22/(1+A6)^1.5+'DCF Valuation'!E22/(1+A6)^2.5+'DCF Valuation'!F22/(1+A6)^3.5+'DCF Valuation'!G22/(1+A6)^4.5)+('DCF Valuation'!G22*(1+C5)/(A6-C5))/(1+A6)^4.5+WACC!B18-WACC!B17)/WACC!B28</f>
        <v>10138.115623934025</v>
      </c>
      <c r="D6" s="81">
        <f>(('DCF Valuation'!C22/(1+A6)^0.5+'DCF Valuation'!D22/(1+A6)^1.5+'DCF Valuation'!E22/(1+A6)^2.5+'DCF Valuation'!F22/(1+A6)^3.5+'DCF Valuation'!G22/(1+A6)^4.5)+('DCF Valuation'!G22*(1+D5)/(A6-D5))/(1+A6)^4.5+WACC!B18-WACC!B17)/WACC!B28</f>
        <v>11031.263035398249</v>
      </c>
      <c r="E6" s="81">
        <f>(('DCF Valuation'!C22/(1+A6)^0.5+'DCF Valuation'!D22/(1+A6)^1.5+'DCF Valuation'!E22/(1+A6)^2.5+'DCF Valuation'!F22/(1+A6)^3.5+'DCF Valuation'!G22/(1+A6)^4.5)+('DCF Valuation'!G22*(1+E5)/(A6-E5))/(1+A6)^4.5+WACC!B18-WACC!B17)/WACC!B28</f>
        <v>12122.887649410086</v>
      </c>
      <c r="F6" s="81">
        <f>(('DCF Valuation'!C22/(1+A6)^0.5+'DCF Valuation'!D22/(1+A6)^1.5+'DCF Valuation'!E22/(1+A6)^2.5+'DCF Valuation'!F22/(1+A6)^3.5+'DCF Valuation'!G22/(1+A6)^4.5)+('DCF Valuation'!G22*(1+F5)/(A6-F5))/(1+A6)^4.5+WACC!B18-WACC!B17)/WACC!B28</f>
        <v>13487.418416924873</v>
      </c>
    </row>
    <row r="7" spans="1:7" ht="15" customHeight="1" x14ac:dyDescent="0.2">
      <c r="A7" s="80">
        <v>0.12</v>
      </c>
      <c r="B7" s="81">
        <f>(('DCF Valuation'!C22/(1+A7)^0.5+'DCF Valuation'!D22/(1+A7)^1.5+'DCF Valuation'!E22/(1+A7)^2.5+'DCF Valuation'!F22/(1+A7)^3.5+'DCF Valuation'!G22/(1+A7)^4.5)+('DCF Valuation'!G22*(1+B5)/(A7-B5))/(1+A7)^4.5+WACC!B18-WACC!B17)/WACC!B28</f>
        <v>8634.8746913257819</v>
      </c>
      <c r="C7" s="81">
        <f>(('DCF Valuation'!C22/(1+A7)^0.5+'DCF Valuation'!D22/(1+A7)^1.5+'DCF Valuation'!E22/(1+A7)^2.5+'DCF Valuation'!F22/(1+A7)^3.5+'DCF Valuation'!G22/(1+A7)^4.5)+('DCF Valuation'!G22*(1+C5)/(A7-C5))/(1+A7)^4.5+WACC!B18-WACC!B17)/WACC!B28</f>
        <v>9254.8725466272026</v>
      </c>
      <c r="D7" s="81">
        <f>(('DCF Valuation'!C22/(1+A7)^0.5+'DCF Valuation'!D22/(1+A7)^1.5+'DCF Valuation'!E22/(1+A7)^2.5+'DCF Valuation'!F22/(1+A7)^3.5+'DCF Valuation'!G22/(1+A7)^4.5)+('DCF Valuation'!G22*(1+D5)/(A7-D5))/(1+A7)^4.5+WACC!B18-WACC!B17)/WACC!B28</f>
        <v>9987.5972847106987</v>
      </c>
      <c r="E7" s="81">
        <f>(('DCF Valuation'!C22/(1+A7)^0.5+'DCF Valuation'!D22/(1+A7)^1.5+'DCF Valuation'!E22/(1+A7)^2.5+'DCF Valuation'!F22/(1+A7)^3.5+'DCF Valuation'!G22/(1+A7)^4.5)+('DCF Valuation'!G22*(1+E5)/(A7-E5))/(1+A7)^4.5+WACC!B18-WACC!B17)/WACC!B28</f>
        <v>10866.866970410894</v>
      </c>
      <c r="F7" s="81">
        <f>(('DCF Valuation'!C22/(1+A7)^0.5+'DCF Valuation'!D22/(1+A7)^1.5+'DCF Valuation'!E22/(1+A7)^2.5+'DCF Valuation'!F22/(1+A7)^3.5+'DCF Valuation'!G22/(1+A7)^4.5)+('DCF Valuation'!G22*(1+F5)/(A7-F5))/(1+A7)^4.5+WACC!B18-WACC!B17)/WACC!B28</f>
        <v>11941.52991960002</v>
      </c>
    </row>
    <row r="8" spans="1:7" ht="15" customHeight="1" x14ac:dyDescent="0.2">
      <c r="A8" s="80">
        <v>0.125</v>
      </c>
      <c r="B8" s="81">
        <f>(('DCF Valuation'!C22/(1+A8)^0.5+'DCF Valuation'!D22/(1+A8)^1.5+'DCF Valuation'!E22/(1+A8)^2.5+'DCF Valuation'!F22/(1+A8)^3.5+'DCF Valuation'!G22/(1+A8)^4.5)+('DCF Valuation'!G22*(1+B5)/(A8-B5))/(1+A8)^4.5+WACC!B18-WACC!B17)/WACC!B28</f>
        <v>7985.0332119294735</v>
      </c>
      <c r="C8" s="81">
        <f>(('DCF Valuation'!C22/(1+A8)^0.5+'DCF Valuation'!D22/(1+A8)^1.5+'DCF Valuation'!E22/(1+A8)^2.5+'DCF Valuation'!F22/(1+A8)^3.5+'DCF Valuation'!G22/(1+A8)^4.5)+('DCF Valuation'!G22*(1+C5)/(A8-C5))/(1+A8)^4.5+WACC!B18-WACC!B17)/WACC!B28</f>
        <v>8508.2391307408143</v>
      </c>
      <c r="D8" s="81">
        <f>(('DCF Valuation'!C22/(1+A8)^0.5+'DCF Valuation'!D22/(1+A8)^1.5+'DCF Valuation'!E22/(1+A8)^2.5+'DCF Valuation'!F22/(1+A8)^3.5+'DCF Valuation'!G22/(1+A8)^4.5)+('DCF Valuation'!G22*(1+D5)/(A8-D5))/(1+A8)^4.5+WACC!B18-WACC!B17)/WACC!B28</f>
        <v>9118.6460360207075</v>
      </c>
      <c r="E8" s="81">
        <f>(('DCF Valuation'!C22/(1+A8)^0.5+'DCF Valuation'!D22/(1+A8)^1.5+'DCF Valuation'!E22/(1+A8)^2.5+'DCF Valuation'!F22/(1+A8)^3.5+'DCF Valuation'!G22/(1+A8)^4.5)+('DCF Valuation'!G22*(1+E5)/(A8-E5))/(1+A8)^4.5+WACC!B18-WACC!B17)/WACC!B28</f>
        <v>9840.0360149878616</v>
      </c>
      <c r="F8" s="81">
        <f>(('DCF Valuation'!C22/(1+A8)^0.5+'DCF Valuation'!D22/(1+A8)^1.5+'DCF Valuation'!E22/(1+A8)^2.5+'DCF Valuation'!F22/(1+A8)^3.5+'DCF Valuation'!G22/(1+A8)^4.5)+('DCF Valuation'!G22*(1+F5)/(A8-F5))/(1+A8)^4.5+WACC!B18-WACC!B17)/WACC!B28</f>
        <v>10705.703989748441</v>
      </c>
    </row>
    <row r="9" spans="1:7" ht="15" customHeight="1" x14ac:dyDescent="0.2">
      <c r="A9" s="80">
        <v>0.13100000000000001</v>
      </c>
      <c r="B9" s="81">
        <f>(('DCF Valuation'!C22/(1+A9)^0.5+'DCF Valuation'!D22/(1+A9)^1.5+'DCF Valuation'!E22/(1+A9)^2.5+'DCF Valuation'!F22/(1+A9)^3.5+'DCF Valuation'!G22/(1+A9)^4.5)+('DCF Valuation'!G22*(1+B5)/(A9-B5))/(1+A9)^4.5+WACC!B18-WACC!B17)/WACC!B28</f>
        <v>7318.9081669775369</v>
      </c>
      <c r="C9" s="81">
        <f>(('DCF Valuation'!C22/(1+A9)^0.5+'DCF Valuation'!D22/(1+A9)^1.5+'DCF Valuation'!E22/(1+A9)^2.5+'DCF Valuation'!F22/(1+A9)^3.5+'DCF Valuation'!G22/(1+A9)^4.5)+('DCF Valuation'!G22*(1+C5)/(A9-C5))/(1+A9)^4.5+WACC!B18-WACC!B17)/WACC!B28</f>
        <v>7751.9469716800222</v>
      </c>
      <c r="D9" s="82">
        <f>(('DCF Valuation'!C22/(1+A9)^0.5+'DCF Valuation'!D22/(1+A9)^1.5+'DCF Valuation'!E22/(1+A9)^2.5+'DCF Valuation'!F22/(1+A9)^3.5+'DCF Valuation'!G22/(1+A9)^4.5)+('DCF Valuation'!G22*(1+D5)/(A9-D5))/(1+A9)^4.5+WACC!B18-WACC!B17)/WACC!B28</f>
        <v>8250.5977164889428</v>
      </c>
      <c r="E9" s="81">
        <f>(('DCF Valuation'!C22/(1+A9)^0.5+'DCF Valuation'!D22/(1+A9)^1.5+'DCF Valuation'!E22/(1+A9)^2.5+'DCF Valuation'!F22/(1+A9)^3.5+'DCF Valuation'!G22/(1+A9)^4.5)+('DCF Valuation'!G22*(1+E5)/(A9-E5))/(1+A9)^4.5+WACC!B18-WACC!B17)/WACC!B28</f>
        <v>8830.9944850370321</v>
      </c>
      <c r="F9" s="81">
        <f>(('DCF Valuation'!C22/(1+A9)^0.5+'DCF Valuation'!D22/(1+A9)^1.5+'DCF Valuation'!E22/(1+A9)^2.5+'DCF Valuation'!F22/(1+A9)^3.5+'DCF Valuation'!G22/(1+A9)^4.5)+('DCF Valuation'!G22*(1+F5)/(A9-F5))/(1+A9)^4.5+WACC!B18-WACC!B17)/WACC!B28</f>
        <v>9515.0335336829939</v>
      </c>
    </row>
    <row r="10" spans="1:7" ht="15" customHeight="1" x14ac:dyDescent="0.2">
      <c r="A10" s="80">
        <v>0.13500000000000001</v>
      </c>
      <c r="B10" s="81">
        <f>(('DCF Valuation'!C22/(1+A10)^0.5+'DCF Valuation'!D22/(1+A10)^1.5+'DCF Valuation'!E22/(1+A10)^2.5+'DCF Valuation'!F22/(1+A10)^3.5+'DCF Valuation'!G22/(1+A10)^4.5)+('DCF Valuation'!G22*(1+B5)/(A10-B5))/(1+A10)^4.5+WACC!B18-WACC!B17)/WACC!B28</f>
        <v>6930.7957690367193</v>
      </c>
      <c r="C10" s="81">
        <f>(('DCF Valuation'!C22/(1+A10)^0.5+'DCF Valuation'!D22/(1+A10)^1.5+'DCF Valuation'!E22/(1+A10)^2.5+'DCF Valuation'!F22/(1+A10)^3.5+'DCF Valuation'!G22/(1+A10)^4.5)+('DCF Valuation'!G22*(1+C5)/(A10-C5))/(1+A10)^4.5+WACC!B18-WACC!B17)/WACC!B28</f>
        <v>7315.4593832536484</v>
      </c>
      <c r="D10" s="81">
        <f>(('DCF Valuation'!C22/(1+A10)^0.5+'DCF Valuation'!D22/(1+A10)^1.5+'DCF Valuation'!E22/(1+A10)^2.5+'DCF Valuation'!F22/(1+A10)^3.5+'DCF Valuation'!G22/(1+A10)^4.5)+('DCF Valuation'!G22*(1+D5)/(A10-D5))/(1+A10)^4.5+WACC!B18-WACC!B17)/WACC!B28</f>
        <v>7755.0749423587076</v>
      </c>
      <c r="E10" s="81">
        <f>(('DCF Valuation'!C22/(1+A10)^0.5+'DCF Valuation'!D22/(1+A10)^1.5+'DCF Valuation'!E22/(1+A10)^2.5+'DCF Valuation'!F22/(1+A10)^3.5+'DCF Valuation'!G22/(1+A10)^4.5)+('DCF Valuation'!G22*(1+E5)/(A10-E5))/(1+A10)^4.5+WACC!B18-WACC!B17)/WACC!B28</f>
        <v>8262.3236644030112</v>
      </c>
      <c r="F10" s="81">
        <f>(('DCF Valuation'!C22/(1+A10)^0.5+'DCF Valuation'!D22/(1+A10)^1.5+'DCF Valuation'!E22/(1+A10)^2.5+'DCF Valuation'!F22/(1+A10)^3.5+'DCF Valuation'!G22/(1+A10)^4.5)+('DCF Valuation'!G22*(1+F5)/(A10-F5))/(1+A10)^4.5+WACC!B18-WACC!B17)/WACC!B28</f>
        <v>8854.1138401213611</v>
      </c>
    </row>
    <row r="11" spans="1:7" ht="15" customHeight="1" x14ac:dyDescent="0.2">
      <c r="A11" s="80">
        <v>0.14000000000000001</v>
      </c>
      <c r="B11" s="81">
        <f>(('DCF Valuation'!C22/(1+A11)^0.5+'DCF Valuation'!D22/(1+A11)^1.5+'DCF Valuation'!E22/(1+A11)^2.5+'DCF Valuation'!F22/(1+A11)^3.5+'DCF Valuation'!G22/(1+A11)^4.5)+('DCF Valuation'!G22*(1+B5)/(A11-B5))/(1+A11)^4.5+WACC!B18-WACC!B17)/WACC!B28</f>
        <v>6497.5002574938726</v>
      </c>
      <c r="C11" s="81">
        <f>(('DCF Valuation'!C22/(1+A11)^0.5+'DCF Valuation'!D22/(1+A11)^1.5+'DCF Valuation'!E22/(1+A11)^2.5+'DCF Valuation'!F22/(1+A11)^3.5+'DCF Valuation'!G22/(1+A11)^4.5)+('DCF Valuation'!G22*(1+C5)/(A11-C5))/(1+A11)^4.5+WACC!B18-WACC!B17)/WACC!B28</f>
        <v>6831.7276041220221</v>
      </c>
      <c r="D11" s="81">
        <f>(('DCF Valuation'!C22/(1+A11)^0.5+'DCF Valuation'!D22/(1+A11)^1.5+'DCF Valuation'!E22/(1+A11)^2.5+'DCF Valuation'!F22/(1+A11)^3.5+'DCF Valuation'!G22/(1+A11)^4.5)+('DCF Valuation'!G22*(1+D5)/(A11-D5))/(1+A11)^4.5+WACC!B18-WACC!B17)/WACC!B28</f>
        <v>7210.5185969672539</v>
      </c>
      <c r="E11" s="81">
        <f>(('DCF Valuation'!C22/(1+A11)^0.5+'DCF Valuation'!D22/(1+A11)^1.5+'DCF Valuation'!E22/(1+A11)^2.5+'DCF Valuation'!F22/(1+A11)^3.5+'DCF Valuation'!G22/(1+A11)^4.5)+('DCF Valuation'!G22*(1+E5)/(A11-E5))/(1+A11)^4.5+WACC!B18-WACC!B17)/WACC!B28</f>
        <v>7643.4225887903804</v>
      </c>
      <c r="F11" s="81">
        <f>(('DCF Valuation'!C22/(1+A11)^0.5+'DCF Valuation'!D22/(1+A11)^1.5+'DCF Valuation'!E22/(1+A11)^2.5+'DCF Valuation'!F22/(1+A11)^3.5+'DCF Valuation'!G22/(1+A11)^4.5)+('DCF Valuation'!G22*(1+F5)/(A11-F5))/(1+A11)^4.5+WACC!B18-WACC!B17)/WACC!B28</f>
        <v>8142.9271947401394</v>
      </c>
    </row>
    <row r="13" spans="1:7" ht="15" customHeight="1" x14ac:dyDescent="0.2">
      <c r="A13" s="19" t="s">
        <v>258</v>
      </c>
    </row>
    <row r="14" spans="1:7" ht="15" customHeight="1" x14ac:dyDescent="0.2">
      <c r="A14" s="14" t="s">
        <v>259</v>
      </c>
      <c r="C14" s="83">
        <f>WACC!B29</f>
        <v>11848</v>
      </c>
      <c r="D14" s="19" t="s">
        <v>260</v>
      </c>
    </row>
    <row r="16" spans="1:7" ht="15" customHeight="1" x14ac:dyDescent="0.2">
      <c r="A16" s="10" t="s">
        <v>261</v>
      </c>
      <c r="B16" s="10"/>
      <c r="C16" s="10"/>
      <c r="D16" s="10"/>
      <c r="E16" s="10"/>
      <c r="F16" s="10"/>
      <c r="G16" s="10"/>
    </row>
    <row r="17" spans="1:7" ht="15" customHeight="1" x14ac:dyDescent="0.2">
      <c r="A17" s="14" t="s">
        <v>262</v>
      </c>
      <c r="B17" s="79">
        <v>0.05</v>
      </c>
      <c r="C17" s="79">
        <v>5.5E-2</v>
      </c>
      <c r="D17" s="79">
        <v>0.06</v>
      </c>
      <c r="E17" s="79">
        <v>6.5000000000000002E-2</v>
      </c>
      <c r="F17" s="79">
        <v>7.0000000000000007E-2</v>
      </c>
    </row>
    <row r="18" spans="1:7" ht="15" customHeight="1" x14ac:dyDescent="0.2">
      <c r="A18" s="80">
        <v>0.1</v>
      </c>
      <c r="B18" s="81">
        <f>'P&amp;L Summary'!F5*(1+A18)*B17</f>
        <v>2688.0150000000003</v>
      </c>
      <c r="C18" s="81">
        <f>'P&amp;L Summary'!F5*(1+A18)*C17</f>
        <v>2956.8165000000004</v>
      </c>
      <c r="D18" s="81">
        <f>'P&amp;L Summary'!F5*(1+A18)*D17</f>
        <v>3225.6179999999999</v>
      </c>
      <c r="E18" s="81">
        <f>'P&amp;L Summary'!F5*(1+A18)*E17</f>
        <v>3494.4195000000004</v>
      </c>
      <c r="F18" s="81">
        <f>'P&amp;L Summary'!F5*(1+A18)*F17</f>
        <v>3763.2210000000005</v>
      </c>
    </row>
    <row r="19" spans="1:7" ht="15" customHeight="1" x14ac:dyDescent="0.2">
      <c r="A19" s="80">
        <v>0.15</v>
      </c>
      <c r="B19" s="81">
        <f>'P&amp;L Summary'!F5*(1+A19)*B17</f>
        <v>2810.1975000000002</v>
      </c>
      <c r="C19" s="81">
        <f>'P&amp;L Summary'!F5*(1+A19)*C17</f>
        <v>3091.2172499999997</v>
      </c>
      <c r="D19" s="81">
        <f>'P&amp;L Summary'!F5*(1+A19)*D17</f>
        <v>3372.2369999999996</v>
      </c>
      <c r="E19" s="81">
        <f>'P&amp;L Summary'!F5*(1+A19)*E17</f>
        <v>3653.25675</v>
      </c>
      <c r="F19" s="81">
        <f>'P&amp;L Summary'!F5*(1+A19)*F17</f>
        <v>3934.2765000000004</v>
      </c>
    </row>
    <row r="20" spans="1:7" ht="15" customHeight="1" x14ac:dyDescent="0.2">
      <c r="A20" s="80">
        <v>0.18</v>
      </c>
      <c r="B20" s="81">
        <f>'P&amp;L Summary'!F5*(1+A20)*B17</f>
        <v>2883.5070000000001</v>
      </c>
      <c r="C20" s="81">
        <f>'P&amp;L Summary'!F5*(1+A20)*C17</f>
        <v>3171.8577</v>
      </c>
      <c r="D20" s="81">
        <f>'P&amp;L Summary'!F5*(1+A20)*D17</f>
        <v>3460.2084</v>
      </c>
      <c r="E20" s="81">
        <f>'P&amp;L Summary'!F5*(1+A20)*E17</f>
        <v>3748.5590999999999</v>
      </c>
      <c r="F20" s="81">
        <f>'P&amp;L Summary'!F5*(1+A20)*F17</f>
        <v>4036.9098000000004</v>
      </c>
    </row>
    <row r="21" spans="1:7" ht="15" customHeight="1" x14ac:dyDescent="0.2">
      <c r="A21" s="80">
        <v>0.2</v>
      </c>
      <c r="B21" s="81">
        <f>'P&amp;L Summary'!F5*(1+A21)*B17</f>
        <v>2932.38</v>
      </c>
      <c r="C21" s="82">
        <f>'P&amp;L Summary'!F5*(1+A21)*C17</f>
        <v>3225.6179999999999</v>
      </c>
      <c r="D21" s="81">
        <f>'P&amp;L Summary'!F5*(1+A21)*D17</f>
        <v>3518.8559999999998</v>
      </c>
      <c r="E21" s="81">
        <f>'P&amp;L Summary'!F5*(1+A21)*E17</f>
        <v>3812.0940000000001</v>
      </c>
      <c r="F21" s="81">
        <f>'P&amp;L Summary'!F5*(1+A21)*F17</f>
        <v>4105.3320000000003</v>
      </c>
    </row>
    <row r="22" spans="1:7" ht="15" customHeight="1" x14ac:dyDescent="0.2">
      <c r="A22" s="80">
        <v>0.25</v>
      </c>
      <c r="B22" s="81">
        <f>'P&amp;L Summary'!F5*(1+A22)*B17</f>
        <v>3054.5625</v>
      </c>
      <c r="C22" s="81">
        <f>'P&amp;L Summary'!F5*(1+A22)*C17</f>
        <v>3360.0187500000002</v>
      </c>
      <c r="D22" s="81">
        <f>'P&amp;L Summary'!F5*(1+A22)*D17</f>
        <v>3665.4749999999999</v>
      </c>
      <c r="E22" s="81">
        <f>'P&amp;L Summary'!F5*(1+A22)*E17</f>
        <v>3970.9312500000001</v>
      </c>
      <c r="F22" s="81">
        <f>'P&amp;L Summary'!F5*(1+A22)*F17</f>
        <v>4276.3875000000007</v>
      </c>
    </row>
    <row r="23" spans="1:7" ht="15" customHeight="1" x14ac:dyDescent="0.2">
      <c r="A23" s="80">
        <v>0.3</v>
      </c>
      <c r="B23" s="81">
        <f>'P&amp;L Summary'!F5*(1+A23)*B17</f>
        <v>3176.7450000000003</v>
      </c>
      <c r="C23" s="81">
        <f>'P&amp;L Summary'!F5*(1+A23)*C17</f>
        <v>3494.4195</v>
      </c>
      <c r="D23" s="81">
        <f>'P&amp;L Summary'!F5*(1+A23)*D17</f>
        <v>3812.0940000000001</v>
      </c>
      <c r="E23" s="81">
        <f>'P&amp;L Summary'!F5*(1+A23)*E17</f>
        <v>4129.7685000000001</v>
      </c>
      <c r="F23" s="81">
        <f>'P&amp;L Summary'!F5*(1+A23)*F17</f>
        <v>4447.4430000000002</v>
      </c>
    </row>
    <row r="25" spans="1:7" ht="15" customHeight="1" x14ac:dyDescent="0.2">
      <c r="A25" s="8" t="s">
        <v>263</v>
      </c>
      <c r="B25" s="8"/>
      <c r="C25" s="8"/>
      <c r="D25" s="8"/>
      <c r="E25" s="8"/>
      <c r="F25" s="8"/>
      <c r="G25" s="8"/>
    </row>
  </sheetData>
  <mergeCells count="5">
    <mergeCell ref="A1:G1"/>
    <mergeCell ref="A2:G2"/>
    <mergeCell ref="A4:G4"/>
    <mergeCell ref="A16:G16"/>
    <mergeCell ref="A25:G2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9"/>
  <sheetViews>
    <sheetView topLeftCell="A23" zoomScaleNormal="100" workbookViewId="0">
      <selection sqref="A1:I1"/>
    </sheetView>
  </sheetViews>
  <sheetFormatPr baseColWidth="10" defaultColWidth="8.6640625" defaultRowHeight="15" x14ac:dyDescent="0.2"/>
  <cols>
    <col min="1" max="1" width="28" customWidth="1"/>
    <col min="2" max="6" width="14" customWidth="1"/>
    <col min="7" max="7" width="18" customWidth="1"/>
    <col min="8" max="8" width="14" customWidth="1"/>
    <col min="9" max="9" width="45" customWidth="1"/>
    <col min="13" max="13" width="50" customWidth="1"/>
  </cols>
  <sheetData>
    <row r="1" spans="1:13" ht="15" customHeight="1" x14ac:dyDescent="0.2">
      <c r="A1" s="9" t="s">
        <v>264</v>
      </c>
      <c r="B1" s="9"/>
      <c r="C1" s="9"/>
      <c r="D1" s="9"/>
      <c r="E1" s="9"/>
      <c r="F1" s="9"/>
      <c r="G1" s="9"/>
      <c r="H1" s="9"/>
      <c r="I1" s="9"/>
    </row>
    <row r="2" spans="1:13" ht="15" customHeight="1" x14ac:dyDescent="0.2">
      <c r="A2" s="8" t="s">
        <v>265</v>
      </c>
      <c r="B2" s="8"/>
      <c r="C2" s="8"/>
      <c r="D2" s="8"/>
      <c r="E2" s="8"/>
      <c r="F2" s="8"/>
      <c r="G2" s="8"/>
      <c r="H2" s="8"/>
      <c r="I2" s="8"/>
    </row>
    <row r="4" spans="1:13" ht="31.5" customHeight="1" x14ac:dyDescent="0.2">
      <c r="A4" s="16" t="s">
        <v>2</v>
      </c>
      <c r="B4" s="84" t="s">
        <v>266</v>
      </c>
      <c r="C4" s="84" t="s">
        <v>267</v>
      </c>
      <c r="D4" s="84" t="s">
        <v>268</v>
      </c>
      <c r="E4" s="84" t="s">
        <v>269</v>
      </c>
      <c r="F4" s="84" t="s">
        <v>270</v>
      </c>
      <c r="G4" s="84" t="s">
        <v>271</v>
      </c>
      <c r="H4" s="84" t="s">
        <v>272</v>
      </c>
      <c r="I4" s="84" t="s">
        <v>273</v>
      </c>
      <c r="J4" s="84" t="s">
        <v>274</v>
      </c>
      <c r="K4" s="84" t="s">
        <v>275</v>
      </c>
    </row>
    <row r="5" spans="1:13" ht="21.75" customHeight="1" x14ac:dyDescent="0.2">
      <c r="A5" s="85" t="s">
        <v>276</v>
      </c>
      <c r="B5" s="86">
        <v>48873</v>
      </c>
      <c r="C5" s="86">
        <v>2580</v>
      </c>
      <c r="D5" s="87">
        <v>5.2999999999999999E-2</v>
      </c>
      <c r="E5" s="86">
        <v>1644</v>
      </c>
      <c r="F5" s="86">
        <v>68549</v>
      </c>
      <c r="G5" s="86">
        <v>-300</v>
      </c>
      <c r="H5" s="88">
        <f>F5+G5</f>
        <v>68249</v>
      </c>
      <c r="I5" s="89">
        <f>H5/C5</f>
        <v>26.4531007751938</v>
      </c>
      <c r="J5" s="90">
        <f>F5/E5</f>
        <v>41.696472019464721</v>
      </c>
      <c r="K5" s="87">
        <v>0.25800000000000001</v>
      </c>
      <c r="M5" s="60" t="s">
        <v>277</v>
      </c>
    </row>
    <row r="6" spans="1:13" ht="32.25" customHeight="1" x14ac:dyDescent="0.2">
      <c r="A6" s="91" t="s">
        <v>278</v>
      </c>
      <c r="B6" s="23">
        <v>3626</v>
      </c>
      <c r="C6" s="23">
        <v>574</v>
      </c>
      <c r="D6" s="62">
        <v>0.158</v>
      </c>
      <c r="E6" s="23">
        <v>364</v>
      </c>
      <c r="F6" s="23">
        <v>23824</v>
      </c>
      <c r="G6" s="23">
        <v>600</v>
      </c>
      <c r="H6" s="40">
        <f>F6+G6</f>
        <v>24424</v>
      </c>
      <c r="I6" s="92">
        <f>H6/C6</f>
        <v>42.550522648083621</v>
      </c>
      <c r="J6" s="93">
        <f>F6/E6</f>
        <v>65.450549450549445</v>
      </c>
      <c r="K6" s="62">
        <v>0.33200000000000002</v>
      </c>
      <c r="M6" s="60" t="s">
        <v>279</v>
      </c>
    </row>
    <row r="7" spans="1:13" ht="32.25" customHeight="1" x14ac:dyDescent="0.2">
      <c r="A7" s="91" t="s">
        <v>280</v>
      </c>
      <c r="B7" s="23">
        <v>12186</v>
      </c>
      <c r="C7" s="23">
        <v>970</v>
      </c>
      <c r="D7" s="62">
        <v>0.08</v>
      </c>
      <c r="E7" s="23">
        <v>338</v>
      </c>
      <c r="F7" s="23">
        <v>27586</v>
      </c>
      <c r="G7" s="23">
        <v>2200</v>
      </c>
      <c r="H7" s="40">
        <f>F7+G7</f>
        <v>29786</v>
      </c>
      <c r="I7" s="92">
        <f>H7/C7</f>
        <v>30.707216494845362</v>
      </c>
      <c r="J7" s="93">
        <f>F7/E7</f>
        <v>81.615384615384613</v>
      </c>
      <c r="K7" s="62">
        <v>0.22</v>
      </c>
      <c r="M7" s="60" t="s">
        <v>281</v>
      </c>
    </row>
    <row r="8" spans="1:13" ht="32.25" customHeight="1" x14ac:dyDescent="0.2">
      <c r="A8" s="91" t="s">
        <v>282</v>
      </c>
      <c r="B8" s="23">
        <v>5288</v>
      </c>
      <c r="C8" s="23">
        <v>307</v>
      </c>
      <c r="D8" s="62">
        <v>5.8000000000000003E-2</v>
      </c>
      <c r="E8" s="23">
        <v>197</v>
      </c>
      <c r="F8" s="23">
        <v>13861</v>
      </c>
      <c r="G8" s="23">
        <v>400</v>
      </c>
      <c r="H8" s="40">
        <f>F8+G8</f>
        <v>14261</v>
      </c>
      <c r="I8" s="92">
        <f>H8/C8</f>
        <v>46.452768729641697</v>
      </c>
      <c r="J8" s="93">
        <f>F8/E8</f>
        <v>70.360406091370564</v>
      </c>
      <c r="K8" s="62">
        <v>0.35499999999999998</v>
      </c>
      <c r="M8" s="60" t="s">
        <v>283</v>
      </c>
    </row>
    <row r="9" spans="1:13" ht="21.75" customHeight="1" x14ac:dyDescent="0.2">
      <c r="A9" s="91" t="s">
        <v>284</v>
      </c>
      <c r="B9" s="23">
        <v>4819</v>
      </c>
      <c r="C9" s="23">
        <v>578</v>
      </c>
      <c r="D9" s="62">
        <v>0.12</v>
      </c>
      <c r="E9" s="23">
        <v>318</v>
      </c>
      <c r="F9" s="23">
        <v>21326</v>
      </c>
      <c r="G9" s="23">
        <v>-610</v>
      </c>
      <c r="H9" s="40">
        <f>F9+G9</f>
        <v>20716</v>
      </c>
      <c r="I9" s="92">
        <f>H9/C9</f>
        <v>35.840830449826989</v>
      </c>
      <c r="J9" s="93">
        <f>F9/E9</f>
        <v>67.062893081761004</v>
      </c>
      <c r="K9" s="62">
        <v>0.26100000000000001</v>
      </c>
      <c r="M9" s="60" t="s">
        <v>285</v>
      </c>
    </row>
    <row r="11" spans="1:13" ht="15" customHeight="1" x14ac:dyDescent="0.2">
      <c r="A11" s="10" t="s">
        <v>286</v>
      </c>
      <c r="B11" s="10"/>
      <c r="C11" s="10"/>
      <c r="D11" s="10"/>
      <c r="E11" s="10"/>
      <c r="F11" s="10"/>
      <c r="G11" s="10"/>
      <c r="H11" s="10"/>
      <c r="I11" s="10"/>
    </row>
    <row r="12" spans="1:13" ht="15" customHeight="1" x14ac:dyDescent="0.2">
      <c r="A12" s="14" t="s">
        <v>287</v>
      </c>
      <c r="B12" s="27">
        <f>AVERAGE(B6:B9)</f>
        <v>6479.75</v>
      </c>
      <c r="C12" s="27">
        <f>AVERAGE(C6:C9)</f>
        <v>607.25</v>
      </c>
      <c r="D12" s="31">
        <f>AVERAGE(D6:D9)</f>
        <v>0.104</v>
      </c>
      <c r="E12" s="27">
        <f>AVERAGE(E6:E9)</f>
        <v>304.25</v>
      </c>
      <c r="F12" s="27">
        <f>AVERAGE(F6:F9)</f>
        <v>21649.25</v>
      </c>
      <c r="H12" s="27">
        <f>AVERAGE(H6:H9)</f>
        <v>22296.75</v>
      </c>
      <c r="I12" s="94">
        <f>AVERAGE(I6:I9)</f>
        <v>38.887834580599417</v>
      </c>
      <c r="J12" s="94">
        <f>AVERAGE(J6:J9)</f>
        <v>71.12230830976641</v>
      </c>
      <c r="K12" s="31">
        <f>AVERAGE(K6:K9)</f>
        <v>0.29200000000000004</v>
      </c>
    </row>
    <row r="13" spans="1:13" ht="15" customHeight="1" x14ac:dyDescent="0.2">
      <c r="A13" s="14" t="s">
        <v>288</v>
      </c>
      <c r="B13" s="27">
        <f>MEDIAN(B6:B9)</f>
        <v>5053.5</v>
      </c>
      <c r="C13" s="27">
        <f>MEDIAN(C6:C9)</f>
        <v>576</v>
      </c>
      <c r="D13" s="31">
        <f>MEDIAN(D6:D9)</f>
        <v>0.1</v>
      </c>
      <c r="E13" s="27">
        <f>MEDIAN(E6:E9)</f>
        <v>328</v>
      </c>
      <c r="F13" s="27">
        <f>MEDIAN(F6:F9)</f>
        <v>22575</v>
      </c>
      <c r="H13" s="27">
        <f>MEDIAN(H6:H9)</f>
        <v>22570</v>
      </c>
      <c r="I13" s="94">
        <f>MEDIAN(I6:I9)</f>
        <v>39.195676548955305</v>
      </c>
      <c r="J13" s="94">
        <f>MEDIAN(J6:J9)</f>
        <v>68.711649586565784</v>
      </c>
      <c r="K13" s="31">
        <f>MEDIAN(K6:K9)</f>
        <v>0.29649999999999999</v>
      </c>
    </row>
    <row r="14" spans="1:13" ht="15" customHeight="1" x14ac:dyDescent="0.2">
      <c r="A14" s="15" t="s">
        <v>289</v>
      </c>
      <c r="B14" s="81">
        <f>MIN(B6:B9)</f>
        <v>3626</v>
      </c>
      <c r="C14" s="81">
        <f>MIN(C6:C9)</f>
        <v>307</v>
      </c>
      <c r="D14" s="95">
        <f>MIN(D6:D9)</f>
        <v>5.8000000000000003E-2</v>
      </c>
      <c r="E14" s="81">
        <f>MIN(E6:E9)</f>
        <v>197</v>
      </c>
      <c r="F14" s="81">
        <f>MIN(F6:F9)</f>
        <v>13861</v>
      </c>
      <c r="H14" s="81">
        <f>MIN(H6:H9)</f>
        <v>14261</v>
      </c>
      <c r="I14" s="96">
        <f>MIN(I6:I9)</f>
        <v>30.707216494845362</v>
      </c>
      <c r="J14" s="96">
        <f>MIN(J6:J9)</f>
        <v>65.450549450549445</v>
      </c>
      <c r="K14" s="95">
        <f>MIN(K6:K9)</f>
        <v>0.22</v>
      </c>
    </row>
    <row r="15" spans="1:13" ht="15" customHeight="1" x14ac:dyDescent="0.2">
      <c r="A15" s="15" t="s">
        <v>290</v>
      </c>
      <c r="B15" s="81">
        <f>MAX(B6:B9)</f>
        <v>12186</v>
      </c>
      <c r="C15" s="81">
        <f>MAX(C6:C9)</f>
        <v>970</v>
      </c>
      <c r="D15" s="95">
        <f>MAX(D6:D9)</f>
        <v>0.158</v>
      </c>
      <c r="E15" s="81">
        <f>MAX(E6:E9)</f>
        <v>364</v>
      </c>
      <c r="F15" s="81">
        <f>MAX(F6:F9)</f>
        <v>27586</v>
      </c>
      <c r="H15" s="81">
        <f>MAX(H6:H9)</f>
        <v>29786</v>
      </c>
      <c r="I15" s="96">
        <f>MAX(I6:I9)</f>
        <v>46.452768729641697</v>
      </c>
      <c r="J15" s="96">
        <f>MAX(J6:J9)</f>
        <v>81.615384615384613</v>
      </c>
      <c r="K15" s="95">
        <f>MAX(K6:K9)</f>
        <v>0.35499999999999998</v>
      </c>
    </row>
    <row r="17" spans="1:13" ht="15" customHeight="1" x14ac:dyDescent="0.2">
      <c r="A17" s="11" t="s">
        <v>291</v>
      </c>
      <c r="B17" s="11"/>
      <c r="C17" s="11"/>
      <c r="D17" s="11"/>
      <c r="E17" s="11"/>
      <c r="F17" s="11"/>
      <c r="G17" s="11"/>
      <c r="H17" s="11"/>
      <c r="I17" s="11"/>
    </row>
    <row r="18" spans="1:13" ht="15" customHeight="1" x14ac:dyDescent="0.2">
      <c r="A18" s="14" t="s">
        <v>292</v>
      </c>
      <c r="B18" s="97">
        <f>'P&amp;L Summary'!F6</f>
        <v>2580</v>
      </c>
    </row>
    <row r="19" spans="1:13" ht="53.25" customHeight="1" x14ac:dyDescent="0.2">
      <c r="A19" s="15" t="s">
        <v>293</v>
      </c>
      <c r="B19" s="81">
        <f>MIN(I6:I9)*B18</f>
        <v>79224.61855670104</v>
      </c>
      <c r="D19" s="35"/>
      <c r="M19" s="60" t="s">
        <v>294</v>
      </c>
    </row>
    <row r="20" spans="1:13" ht="42.75" customHeight="1" x14ac:dyDescent="0.2">
      <c r="A20" s="14" t="s">
        <v>295</v>
      </c>
      <c r="B20" s="82">
        <f>MEDIAN(I6:I9)*B18</f>
        <v>101124.84549630468</v>
      </c>
      <c r="D20" s="35"/>
      <c r="M20" s="60" t="s">
        <v>296</v>
      </c>
    </row>
    <row r="21" spans="1:13" ht="42.75" customHeight="1" x14ac:dyDescent="0.2">
      <c r="A21" s="15" t="s">
        <v>297</v>
      </c>
      <c r="B21" s="81">
        <f>AVERAGE(I6:I9)*B18</f>
        <v>100330.61321794649</v>
      </c>
      <c r="D21" s="35"/>
      <c r="M21" s="60" t="s">
        <v>298</v>
      </c>
    </row>
    <row r="22" spans="1:13" ht="42.75" customHeight="1" x14ac:dyDescent="0.2">
      <c r="A22" s="15" t="s">
        <v>299</v>
      </c>
      <c r="B22" s="81">
        <f>MAX(I6:I9)*B18</f>
        <v>119848.14332247557</v>
      </c>
      <c r="D22" s="35"/>
      <c r="M22" s="60" t="s">
        <v>300</v>
      </c>
    </row>
    <row r="23" spans="1:13" ht="74.25" customHeight="1" x14ac:dyDescent="0.2">
      <c r="A23" s="15" t="s">
        <v>301</v>
      </c>
      <c r="B23" s="81">
        <f>MEDIAN(I6:I9)*0.8*B18</f>
        <v>80899.876397043743</v>
      </c>
      <c r="D23" s="35"/>
      <c r="M23" s="60" t="s">
        <v>302</v>
      </c>
    </row>
    <row r="25" spans="1:13" ht="15" customHeight="1" x14ac:dyDescent="0.2">
      <c r="A25" s="10" t="s">
        <v>303</v>
      </c>
      <c r="B25" s="10"/>
      <c r="C25" s="10"/>
      <c r="D25" s="10"/>
      <c r="E25" s="10"/>
      <c r="F25" s="10"/>
      <c r="G25" s="10"/>
      <c r="H25" s="10"/>
      <c r="I25" s="10"/>
    </row>
    <row r="26" spans="1:13" ht="21.75" customHeight="1" x14ac:dyDescent="0.2">
      <c r="A26" s="15" t="s">
        <v>304</v>
      </c>
      <c r="B26" s="98">
        <f>(B19+WACC!B18-WACC!B17)/WACC!B28</f>
        <v>13036.822714213286</v>
      </c>
      <c r="D26" s="35"/>
      <c r="M26" s="60" t="s">
        <v>305</v>
      </c>
    </row>
    <row r="27" spans="1:13" ht="21.75" customHeight="1" x14ac:dyDescent="0.2">
      <c r="A27" s="14" t="s">
        <v>306</v>
      </c>
      <c r="B27" s="82">
        <f>(B20+WACC!B18-WACC!B17)/WACC!B28</f>
        <v>16627.023851853228</v>
      </c>
      <c r="D27" s="35"/>
      <c r="M27" s="60" t="s">
        <v>307</v>
      </c>
    </row>
    <row r="28" spans="1:13" ht="15" customHeight="1" x14ac:dyDescent="0.2">
      <c r="A28" s="15" t="s">
        <v>308</v>
      </c>
      <c r="B28" s="98">
        <f>(B21+WACC!B18-WACC!B17)/WACC!B28</f>
        <v>16496.821839007622</v>
      </c>
    </row>
    <row r="29" spans="1:13" ht="21.75" customHeight="1" x14ac:dyDescent="0.2">
      <c r="A29" s="15" t="s">
        <v>309</v>
      </c>
      <c r="B29" s="98">
        <f>(B22+WACC!B18-WACC!B17)/WACC!B28</f>
        <v>19696.416938110749</v>
      </c>
      <c r="D29" s="35"/>
      <c r="M29" s="60" t="s">
        <v>310</v>
      </c>
    </row>
    <row r="30" spans="1:13" ht="21.75" customHeight="1" x14ac:dyDescent="0.2">
      <c r="A30" s="15" t="s">
        <v>311</v>
      </c>
      <c r="B30" s="98">
        <f>(B23+WACC!B18-WACC!B17)/WACC!B28</f>
        <v>13311.455147056353</v>
      </c>
      <c r="D30" s="35"/>
      <c r="M30" s="60" t="s">
        <v>312</v>
      </c>
    </row>
    <row r="32" spans="1:13" ht="74.25" customHeight="1" x14ac:dyDescent="0.2">
      <c r="A32" s="99" t="s">
        <v>313</v>
      </c>
      <c r="B32" s="100">
        <f>WACC!B29</f>
        <v>11848</v>
      </c>
      <c r="D32" s="35"/>
      <c r="M32" s="60" t="s">
        <v>314</v>
      </c>
    </row>
    <row r="34" spans="1:9" ht="15" customHeight="1" x14ac:dyDescent="0.2">
      <c r="A34" s="3" t="s">
        <v>315</v>
      </c>
      <c r="B34" s="3"/>
      <c r="C34" s="3"/>
      <c r="D34" s="3"/>
      <c r="E34" s="3"/>
      <c r="F34" s="3"/>
      <c r="G34" s="3"/>
      <c r="H34" s="3"/>
      <c r="I34" s="3"/>
    </row>
    <row r="35" spans="1:9" ht="15" customHeight="1" x14ac:dyDescent="0.2">
      <c r="A35" s="2" t="s">
        <v>316</v>
      </c>
      <c r="B35" s="2"/>
      <c r="C35" s="2"/>
      <c r="D35" s="2"/>
      <c r="E35" s="2"/>
      <c r="F35" s="2"/>
      <c r="G35" s="2"/>
      <c r="H35" s="2"/>
      <c r="I35" s="2"/>
    </row>
    <row r="36" spans="1:9" ht="15" customHeight="1" x14ac:dyDescent="0.2">
      <c r="A36" s="1" t="s">
        <v>317</v>
      </c>
      <c r="B36" s="1"/>
      <c r="C36" s="1"/>
      <c r="D36" s="1"/>
      <c r="E36" s="1"/>
      <c r="F36" s="1"/>
      <c r="G36" s="1"/>
      <c r="H36" s="1"/>
      <c r="I36" s="1"/>
    </row>
    <row r="37" spans="1:9" ht="15" customHeight="1" x14ac:dyDescent="0.2">
      <c r="A37" s="2" t="s">
        <v>318</v>
      </c>
      <c r="B37" s="2"/>
      <c r="C37" s="2"/>
      <c r="D37" s="2"/>
      <c r="E37" s="2"/>
      <c r="F37" s="2"/>
      <c r="G37" s="2"/>
      <c r="H37" s="2"/>
      <c r="I37" s="2"/>
    </row>
    <row r="38" spans="1:9" ht="15" customHeight="1" x14ac:dyDescent="0.2">
      <c r="A38" s="1" t="s">
        <v>319</v>
      </c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">
      <c r="A39" s="2" t="s">
        <v>320</v>
      </c>
      <c r="B39" s="2"/>
      <c r="C39" s="2"/>
      <c r="D39" s="2"/>
      <c r="E39" s="2"/>
      <c r="F39" s="2"/>
      <c r="G39" s="2"/>
      <c r="H39" s="2"/>
      <c r="I39" s="2"/>
    </row>
  </sheetData>
  <mergeCells count="11">
    <mergeCell ref="A39:I39"/>
    <mergeCell ref="A34:I34"/>
    <mergeCell ref="A35:I35"/>
    <mergeCell ref="A36:I36"/>
    <mergeCell ref="A37:I37"/>
    <mergeCell ref="A38:I38"/>
    <mergeCell ref="A1:I1"/>
    <mergeCell ref="A2:I2"/>
    <mergeCell ref="A11:I11"/>
    <mergeCell ref="A17:I17"/>
    <mergeCell ref="A25:I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Revenue Model</vt:lpstr>
      <vt:lpstr>P&amp;L Summary</vt:lpstr>
      <vt:lpstr>Assumptions</vt:lpstr>
      <vt:lpstr>WACC</vt:lpstr>
      <vt:lpstr>DCF Valuation</vt:lpstr>
      <vt:lpstr>Sensitivity</vt:lpstr>
      <vt:lpstr>Comps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Om Chaudhari</cp:lastModifiedBy>
  <cp:revision>0</cp:revision>
  <dcterms:created xsi:type="dcterms:W3CDTF">2026-06-07T04:52:52Z</dcterms:created>
  <dcterms:modified xsi:type="dcterms:W3CDTF">2026-06-09T06:01:03Z</dcterms:modified>
  <dc:language>en-US</dc:language>
</cp:coreProperties>
</file>